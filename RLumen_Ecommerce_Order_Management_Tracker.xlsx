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ndr\Downloads\"/>
    </mc:Choice>
  </mc:AlternateContent>
  <xr:revisionPtr revIDLastSave="0" documentId="13_ncr:1_{EE62C6D5-00F8-43E4-BC77-E8D33ADC5907}" xr6:coauthVersionLast="47" xr6:coauthVersionMax="47" xr10:uidLastSave="{00000000-0000-0000-0000-000000000000}"/>
  <bookViews>
    <workbookView xWindow="-98" yWindow="-98" windowWidth="20715" windowHeight="13155" activeTab="2" xr2:uid="{00000000-000D-0000-FFFF-FFFF00000000}"/>
  </bookViews>
  <sheets>
    <sheet name="Operations Overview" sheetId="1" r:id="rId1"/>
    <sheet name="Order Register" sheetId="2" r:id="rId2"/>
    <sheet name="Customer Direc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2" i="1"/>
  <c r="B13" i="1"/>
  <c r="B15" i="1"/>
  <c r="D8" i="1"/>
  <c r="I5" i="3"/>
  <c r="I4" i="3"/>
  <c r="I3" i="3"/>
  <c r="L200" i="2"/>
  <c r="H200" i="2"/>
  <c r="L199" i="2"/>
  <c r="H199" i="2"/>
  <c r="L198" i="2"/>
  <c r="H198" i="2"/>
  <c r="L197" i="2"/>
  <c r="H197" i="2"/>
  <c r="L196" i="2"/>
  <c r="H196" i="2"/>
  <c r="L195" i="2"/>
  <c r="H195" i="2"/>
  <c r="L194" i="2"/>
  <c r="H194" i="2"/>
  <c r="L193" i="2"/>
  <c r="H193" i="2"/>
  <c r="L192" i="2"/>
  <c r="H192" i="2"/>
  <c r="L191" i="2"/>
  <c r="H191" i="2"/>
  <c r="L190" i="2"/>
  <c r="H190" i="2"/>
  <c r="L189" i="2"/>
  <c r="H189" i="2"/>
  <c r="L188" i="2"/>
  <c r="H188" i="2"/>
  <c r="L187" i="2"/>
  <c r="H187" i="2"/>
  <c r="L186" i="2"/>
  <c r="H186" i="2"/>
  <c r="L185" i="2"/>
  <c r="H185" i="2"/>
  <c r="L184" i="2"/>
  <c r="H184" i="2"/>
  <c r="L183" i="2"/>
  <c r="H183" i="2"/>
  <c r="L182" i="2"/>
  <c r="H182" i="2"/>
  <c r="L181" i="2"/>
  <c r="H181" i="2"/>
  <c r="L180" i="2"/>
  <c r="H180" i="2"/>
  <c r="L179" i="2"/>
  <c r="H179" i="2"/>
  <c r="L178" i="2"/>
  <c r="H178" i="2"/>
  <c r="L177" i="2"/>
  <c r="H177" i="2"/>
  <c r="L176" i="2"/>
  <c r="H176" i="2"/>
  <c r="L175" i="2"/>
  <c r="H175" i="2"/>
  <c r="L174" i="2"/>
  <c r="H174" i="2"/>
  <c r="L173" i="2"/>
  <c r="H173" i="2"/>
  <c r="L172" i="2"/>
  <c r="H172" i="2"/>
  <c r="L171" i="2"/>
  <c r="H171" i="2"/>
  <c r="L170" i="2"/>
  <c r="H170" i="2"/>
  <c r="L169" i="2"/>
  <c r="H169" i="2"/>
  <c r="L168" i="2"/>
  <c r="H168" i="2"/>
  <c r="L167" i="2"/>
  <c r="H167" i="2"/>
  <c r="L166" i="2"/>
  <c r="H166" i="2"/>
  <c r="L165" i="2"/>
  <c r="H165" i="2"/>
  <c r="L164" i="2"/>
  <c r="H164" i="2"/>
  <c r="L163" i="2"/>
  <c r="H163" i="2"/>
  <c r="L162" i="2"/>
  <c r="H162" i="2"/>
  <c r="L161" i="2"/>
  <c r="H161" i="2"/>
  <c r="L160" i="2"/>
  <c r="H160" i="2"/>
  <c r="L159" i="2"/>
  <c r="H159" i="2"/>
  <c r="L158" i="2"/>
  <c r="H158" i="2"/>
  <c r="L157" i="2"/>
  <c r="H157" i="2"/>
  <c r="L156" i="2"/>
  <c r="H156" i="2"/>
  <c r="L155" i="2"/>
  <c r="H155" i="2"/>
  <c r="L154" i="2"/>
  <c r="H154" i="2"/>
  <c r="L153" i="2"/>
  <c r="H153" i="2"/>
  <c r="L152" i="2"/>
  <c r="H152" i="2"/>
  <c r="L151" i="2"/>
  <c r="H151" i="2"/>
  <c r="L150" i="2"/>
  <c r="H150" i="2"/>
  <c r="L149" i="2"/>
  <c r="H149" i="2"/>
  <c r="L148" i="2"/>
  <c r="H148" i="2"/>
  <c r="L147" i="2"/>
  <c r="H147" i="2"/>
  <c r="L146" i="2"/>
  <c r="H146" i="2"/>
  <c r="L145" i="2"/>
  <c r="H145" i="2"/>
  <c r="L144" i="2"/>
  <c r="H144" i="2"/>
  <c r="L143" i="2"/>
  <c r="H143" i="2"/>
  <c r="L142" i="2"/>
  <c r="H142" i="2"/>
  <c r="L141" i="2"/>
  <c r="H141" i="2"/>
  <c r="L140" i="2"/>
  <c r="H140" i="2"/>
  <c r="L139" i="2"/>
  <c r="H139" i="2"/>
  <c r="L138" i="2"/>
  <c r="H138" i="2"/>
  <c r="L137" i="2"/>
  <c r="H137" i="2"/>
  <c r="L136" i="2"/>
  <c r="H136" i="2"/>
  <c r="L135" i="2"/>
  <c r="H135" i="2"/>
  <c r="L134" i="2"/>
  <c r="H134" i="2"/>
  <c r="L133" i="2"/>
  <c r="H133" i="2"/>
  <c r="L132" i="2"/>
  <c r="H132" i="2"/>
  <c r="L131" i="2"/>
  <c r="H131" i="2"/>
  <c r="L130" i="2"/>
  <c r="H130" i="2"/>
  <c r="L129" i="2"/>
  <c r="H129" i="2"/>
  <c r="L128" i="2"/>
  <c r="H128" i="2"/>
  <c r="L127" i="2"/>
  <c r="H127" i="2"/>
  <c r="L126" i="2"/>
  <c r="H126" i="2"/>
  <c r="L125" i="2"/>
  <c r="H125" i="2"/>
  <c r="L124" i="2"/>
  <c r="H124" i="2"/>
  <c r="L123" i="2"/>
  <c r="H123" i="2"/>
  <c r="L122" i="2"/>
  <c r="H122" i="2"/>
  <c r="L121" i="2"/>
  <c r="H121" i="2"/>
  <c r="L120" i="2"/>
  <c r="H120" i="2"/>
  <c r="L119" i="2"/>
  <c r="H119" i="2"/>
  <c r="L118" i="2"/>
  <c r="H118" i="2"/>
  <c r="L117" i="2"/>
  <c r="H117" i="2"/>
  <c r="L116" i="2"/>
  <c r="H116" i="2"/>
  <c r="L115" i="2"/>
  <c r="H115" i="2"/>
  <c r="L114" i="2"/>
  <c r="H114" i="2"/>
  <c r="L113" i="2"/>
  <c r="H113" i="2"/>
  <c r="L112" i="2"/>
  <c r="H112" i="2"/>
  <c r="L111" i="2"/>
  <c r="H111" i="2"/>
  <c r="L110" i="2"/>
  <c r="H110" i="2"/>
  <c r="L109" i="2"/>
  <c r="H109" i="2"/>
  <c r="L108" i="2"/>
  <c r="H108" i="2"/>
  <c r="L107" i="2"/>
  <c r="H107" i="2"/>
  <c r="L106" i="2"/>
  <c r="H106" i="2"/>
  <c r="L105" i="2"/>
  <c r="H105" i="2"/>
  <c r="L104" i="2"/>
  <c r="H104" i="2"/>
  <c r="L103" i="2"/>
  <c r="H103" i="2"/>
  <c r="L102" i="2"/>
  <c r="H102" i="2"/>
  <c r="L101" i="2"/>
  <c r="H101" i="2"/>
  <c r="L100" i="2"/>
  <c r="H100" i="2"/>
  <c r="L99" i="2"/>
  <c r="H99" i="2"/>
  <c r="L98" i="2"/>
  <c r="H98" i="2"/>
  <c r="L97" i="2"/>
  <c r="H97" i="2"/>
  <c r="L96" i="2"/>
  <c r="H96" i="2"/>
  <c r="L95" i="2"/>
  <c r="H95" i="2"/>
  <c r="L94" i="2"/>
  <c r="H94" i="2"/>
  <c r="L93" i="2"/>
  <c r="H93" i="2"/>
  <c r="L92" i="2"/>
  <c r="H92" i="2"/>
  <c r="L91" i="2"/>
  <c r="H91" i="2"/>
  <c r="L90" i="2"/>
  <c r="H90" i="2"/>
  <c r="L89" i="2"/>
  <c r="H89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H82" i="2"/>
  <c r="L81" i="2"/>
  <c r="H81" i="2"/>
  <c r="L80" i="2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H71" i="2"/>
  <c r="L70" i="2"/>
  <c r="H70" i="2"/>
  <c r="L69" i="2"/>
  <c r="H69" i="2"/>
  <c r="L68" i="2"/>
  <c r="H68" i="2"/>
  <c r="L67" i="2"/>
  <c r="H67" i="2"/>
  <c r="L66" i="2"/>
  <c r="H66" i="2"/>
  <c r="L65" i="2"/>
  <c r="H65" i="2"/>
  <c r="L64" i="2"/>
  <c r="H64" i="2"/>
  <c r="L63" i="2"/>
  <c r="H63" i="2"/>
  <c r="L62" i="2"/>
  <c r="H62" i="2"/>
  <c r="L61" i="2"/>
  <c r="H61" i="2"/>
  <c r="L60" i="2"/>
  <c r="H60" i="2"/>
  <c r="L59" i="2"/>
  <c r="H59" i="2"/>
  <c r="L58" i="2"/>
  <c r="H58" i="2"/>
  <c r="L57" i="2"/>
  <c r="H57" i="2"/>
  <c r="L56" i="2"/>
  <c r="H56" i="2"/>
  <c r="L55" i="2"/>
  <c r="H55" i="2"/>
  <c r="L54" i="2"/>
  <c r="H54" i="2"/>
  <c r="L53" i="2"/>
  <c r="H53" i="2"/>
  <c r="L52" i="2"/>
  <c r="H52" i="2"/>
  <c r="L51" i="2"/>
  <c r="H51" i="2"/>
  <c r="L50" i="2"/>
  <c r="H50" i="2"/>
  <c r="L49" i="2"/>
  <c r="H49" i="2"/>
  <c r="L48" i="2"/>
  <c r="H48" i="2"/>
  <c r="L47" i="2"/>
  <c r="H47" i="2"/>
  <c r="L46" i="2"/>
  <c r="H46" i="2"/>
  <c r="L45" i="2"/>
  <c r="H45" i="2"/>
  <c r="L44" i="2"/>
  <c r="H44" i="2"/>
  <c r="L43" i="2"/>
  <c r="H43" i="2"/>
  <c r="L42" i="2"/>
  <c r="H42" i="2"/>
  <c r="L41" i="2"/>
  <c r="H41" i="2"/>
  <c r="L40" i="2"/>
  <c r="H40" i="2"/>
  <c r="L39" i="2"/>
  <c r="H39" i="2"/>
  <c r="L38" i="2"/>
  <c r="H38" i="2"/>
  <c r="L37" i="2"/>
  <c r="H37" i="2"/>
  <c r="L36" i="2"/>
  <c r="H36" i="2"/>
  <c r="L35" i="2"/>
  <c r="H35" i="2"/>
  <c r="L34" i="2"/>
  <c r="H34" i="2"/>
  <c r="L33" i="2"/>
  <c r="H33" i="2"/>
  <c r="L32" i="2"/>
  <c r="H32" i="2"/>
  <c r="L31" i="2"/>
  <c r="H31" i="2"/>
  <c r="L30" i="2"/>
  <c r="H30" i="2"/>
  <c r="L29" i="2"/>
  <c r="H29" i="2"/>
  <c r="L28" i="2"/>
  <c r="H28" i="2"/>
  <c r="L27" i="2"/>
  <c r="H27" i="2"/>
  <c r="L26" i="2"/>
  <c r="H26" i="2"/>
  <c r="L25" i="2"/>
  <c r="H25" i="2"/>
  <c r="L24" i="2"/>
  <c r="H24" i="2"/>
  <c r="L23" i="2"/>
  <c r="H23" i="2"/>
  <c r="L22" i="2"/>
  <c r="H22" i="2"/>
  <c r="L21" i="2"/>
  <c r="H21" i="2"/>
  <c r="L20" i="2"/>
  <c r="H20" i="2"/>
  <c r="L19" i="2"/>
  <c r="H19" i="2"/>
  <c r="L18" i="2"/>
  <c r="H18" i="2"/>
  <c r="L17" i="2"/>
  <c r="H17" i="2"/>
  <c r="L16" i="2"/>
  <c r="H16" i="2"/>
  <c r="L15" i="2"/>
  <c r="H15" i="2"/>
  <c r="L14" i="2"/>
  <c r="H14" i="2"/>
  <c r="L13" i="2"/>
  <c r="H13" i="2"/>
  <c r="L12" i="2"/>
  <c r="H12" i="2"/>
  <c r="L11" i="2"/>
  <c r="H11" i="2"/>
  <c r="L10" i="2"/>
  <c r="H10" i="2"/>
  <c r="L9" i="2"/>
  <c r="H9" i="2"/>
  <c r="L8" i="2"/>
  <c r="H8" i="2"/>
  <c r="L7" i="2"/>
  <c r="H7" i="2"/>
  <c r="L6" i="2"/>
  <c r="H6" i="2"/>
  <c r="L5" i="2"/>
  <c r="H5" i="2"/>
  <c r="L4" i="2"/>
  <c r="H4" i="2"/>
  <c r="L3" i="2"/>
  <c r="G5" i="1" s="1"/>
  <c r="H3" i="2"/>
  <c r="L2" i="2"/>
  <c r="H2" i="2"/>
  <c r="F14" i="1"/>
  <c r="F13" i="1"/>
  <c r="F12" i="1"/>
  <c r="F11" i="1"/>
  <c r="B11" i="1"/>
  <c r="D5" i="1"/>
  <c r="A5" i="1"/>
</calcChain>
</file>

<file path=xl/sharedStrings.xml><?xml version="1.0" encoding="utf-8"?>
<sst xmlns="http://schemas.openxmlformats.org/spreadsheetml/2006/main" count="551" uniqueCount="258">
  <si>
    <t>BLOOM &amp; CO. | OPERATIONS OVERVIEW</t>
  </si>
  <si>
    <t>Order management • Customer records • Fulfillment monitoring</t>
  </si>
  <si>
    <t>TOTAL ORDERS</t>
  </si>
  <si>
    <t>GROSS ORDER VALUE</t>
  </si>
  <si>
    <t>ORDERS TO FOLLOW UP</t>
  </si>
  <si>
    <t>FULFILLMENT PIPELINE</t>
  </si>
  <si>
    <t>PAYMENT MONITORING</t>
  </si>
  <si>
    <t>Pending</t>
  </si>
  <si>
    <t>Paid</t>
  </si>
  <si>
    <t>Processing</t>
  </si>
  <si>
    <t>Shipped</t>
  </si>
  <si>
    <t>Refunded</t>
  </si>
  <si>
    <t>Delivered</t>
  </si>
  <si>
    <t>Failed</t>
  </si>
  <si>
    <t>Cancelled</t>
  </si>
  <si>
    <t>INTERNAL OPERATIONS NOTES</t>
  </si>
  <si>
    <t>Order ID</t>
  </si>
  <si>
    <t>Order Date</t>
  </si>
  <si>
    <t>Customer ID</t>
  </si>
  <si>
    <t>Customer Name</t>
  </si>
  <si>
    <t>Product</t>
  </si>
  <si>
    <t>Qty</t>
  </si>
  <si>
    <t>Unit Price (PHP)</t>
  </si>
  <si>
    <t>Order Total (PHP)</t>
  </si>
  <si>
    <t>Payment Status</t>
  </si>
  <si>
    <t>Fulfillment Status</t>
  </si>
  <si>
    <t>Tracking Number</t>
  </si>
  <si>
    <t>Action Required</t>
  </si>
  <si>
    <t>ORD-1001</t>
  </si>
  <si>
    <t>CUS-001</t>
  </si>
  <si>
    <t>Maria Santos</t>
  </si>
  <si>
    <t>Oversized Tee</t>
  </si>
  <si>
    <t>JT424234107</t>
  </si>
  <si>
    <t>ORD-1002</t>
  </si>
  <si>
    <t>CUS-008</t>
  </si>
  <si>
    <t>Carlo Torres</t>
  </si>
  <si>
    <t>Canvas Tote</t>
  </si>
  <si>
    <t>JT373107924</t>
  </si>
  <si>
    <t>ORD-1003</t>
  </si>
  <si>
    <t>CUS-015</t>
  </si>
  <si>
    <t>Ella Castillo</t>
  </si>
  <si>
    <t>Classic Hoodie</t>
  </si>
  <si>
    <t>ORD-1004</t>
  </si>
  <si>
    <t>CUS-022</t>
  </si>
  <si>
    <t>Adrian Gomez</t>
  </si>
  <si>
    <t>Baseball Cap</t>
  </si>
  <si>
    <t>ORD-1005</t>
  </si>
  <si>
    <t>CUS-029</t>
  </si>
  <si>
    <t>Lea Luna</t>
  </si>
  <si>
    <t>Cargo Pants</t>
  </si>
  <si>
    <t>JT955028465</t>
  </si>
  <si>
    <t>ORD-1006</t>
  </si>
  <si>
    <t>CUS-006</t>
  </si>
  <si>
    <t>Paolo Dela Cruz</t>
  </si>
  <si>
    <t>Everyday Shirt</t>
  </si>
  <si>
    <t>JT696896241</t>
  </si>
  <si>
    <t>ORD-1007</t>
  </si>
  <si>
    <t>CUS-013</t>
  </si>
  <si>
    <t>Bianca Navarro</t>
  </si>
  <si>
    <t>Crossbody Bag</t>
  </si>
  <si>
    <t>ORD-1008</t>
  </si>
  <si>
    <t>CUS-020</t>
  </si>
  <si>
    <t>Luis Morales</t>
  </si>
  <si>
    <t>Linen Shorts</t>
  </si>
  <si>
    <t>JT846616491</t>
  </si>
  <si>
    <t>ORD-1009</t>
  </si>
  <si>
    <t>CUS-027</t>
  </si>
  <si>
    <t>Erika Valdez</t>
  </si>
  <si>
    <t>JT840388786</t>
  </si>
  <si>
    <t>ORD-1010</t>
  </si>
  <si>
    <t>CUS-004</t>
  </si>
  <si>
    <t>Mark Rivera</t>
  </si>
  <si>
    <t>ORD-1011</t>
  </si>
  <si>
    <t>CUS-011</t>
  </si>
  <si>
    <t>Grace Aquino</t>
  </si>
  <si>
    <t>ORD-1012</t>
  </si>
  <si>
    <t>CUS-018</t>
  </si>
  <si>
    <t>Joshua Sy</t>
  </si>
  <si>
    <t>JT188477572</t>
  </si>
  <si>
    <t>ORD-1013</t>
  </si>
  <si>
    <t>CUS-025</t>
  </si>
  <si>
    <t>Faith Pascual</t>
  </si>
  <si>
    <t>JT421928641</t>
  </si>
  <si>
    <t>ORD-1014</t>
  </si>
  <si>
    <t>CUS-002</t>
  </si>
  <si>
    <t>John Reyes</t>
  </si>
  <si>
    <t>ORD-1015</t>
  </si>
  <si>
    <t>CUS-009</t>
  </si>
  <si>
    <t>Jasmine Flores</t>
  </si>
  <si>
    <t>JT590248392</t>
  </si>
  <si>
    <t>ORD-1016</t>
  </si>
  <si>
    <t>CUS-016</t>
  </si>
  <si>
    <t>Rafael Domingo</t>
  </si>
  <si>
    <t>JT597629994</t>
  </si>
  <si>
    <t>ORD-1017</t>
  </si>
  <si>
    <t>CUS-023</t>
  </si>
  <si>
    <t>Isabel Fernandez</t>
  </si>
  <si>
    <t>ORD-1018</t>
  </si>
  <si>
    <t>CUS-030</t>
  </si>
  <si>
    <t>Vincent Chua</t>
  </si>
  <si>
    <t>ORD-1019</t>
  </si>
  <si>
    <t>CUS-007</t>
  </si>
  <si>
    <t>Nicole Mendoza</t>
  </si>
  <si>
    <t>JT405764635</t>
  </si>
  <si>
    <t>ORD-1020</t>
  </si>
  <si>
    <t>CUS-014</t>
  </si>
  <si>
    <t>Kevin Lim</t>
  </si>
  <si>
    <t>JT651064777</t>
  </si>
  <si>
    <t>ORD-1021</t>
  </si>
  <si>
    <t>CUS-021</t>
  </si>
  <si>
    <t>Trisha Salazar</t>
  </si>
  <si>
    <t>ORD-1022</t>
  </si>
  <si>
    <t>CUS-028</t>
  </si>
  <si>
    <t>Gabriel Soriano</t>
  </si>
  <si>
    <t>JT226006770</t>
  </si>
  <si>
    <t>ORD-1023</t>
  </si>
  <si>
    <t>CUS-005</t>
  </si>
  <si>
    <t>Sofia Garcia</t>
  </si>
  <si>
    <t>JT729051750</t>
  </si>
  <si>
    <t>ORD-1024</t>
  </si>
  <si>
    <t>CUS-012</t>
  </si>
  <si>
    <t>Miguel Bautista</t>
  </si>
  <si>
    <t>ORD-1025</t>
  </si>
  <si>
    <t>CUS-019</t>
  </si>
  <si>
    <t>Hannah Tan</t>
  </si>
  <si>
    <t>ORD-1026</t>
  </si>
  <si>
    <t>CUS-026</t>
  </si>
  <si>
    <t>Noel Mercado</t>
  </si>
  <si>
    <t>JT124150170</t>
  </si>
  <si>
    <t>ORD-1027</t>
  </si>
  <si>
    <t>CUS-003</t>
  </si>
  <si>
    <t>Angela Cruz</t>
  </si>
  <si>
    <t>JT405982447</t>
  </si>
  <si>
    <t>ORD-1028</t>
  </si>
  <si>
    <t>CUS-010</t>
  </si>
  <si>
    <t>Daniel Ramos</t>
  </si>
  <si>
    <t>ORD-1029</t>
  </si>
  <si>
    <t>CUS-017</t>
  </si>
  <si>
    <t>Camille Villanueva</t>
  </si>
  <si>
    <t>JT332572512</t>
  </si>
  <si>
    <t>ORD-1030</t>
  </si>
  <si>
    <t>CUS-024</t>
  </si>
  <si>
    <t>Marco Ocampo</t>
  </si>
  <si>
    <t>JT930398002</t>
  </si>
  <si>
    <t>ORD-1031</t>
  </si>
  <si>
    <t>ORD-1032</t>
  </si>
  <si>
    <t>ORD-1033</t>
  </si>
  <si>
    <t>JT612859897</t>
  </si>
  <si>
    <t>ORD-1034</t>
  </si>
  <si>
    <t>JT695144266</t>
  </si>
  <si>
    <t>ORD-1035</t>
  </si>
  <si>
    <t>ORD-1036</t>
  </si>
  <si>
    <t>JT682636164</t>
  </si>
  <si>
    <t>ORD-1037</t>
  </si>
  <si>
    <t>JT835632515</t>
  </si>
  <si>
    <t>ORD-1038</t>
  </si>
  <si>
    <t>ORD-1039</t>
  </si>
  <si>
    <t>ORD-1040</t>
  </si>
  <si>
    <t>JT229849704</t>
  </si>
  <si>
    <t>ORD-1041</t>
  </si>
  <si>
    <t>JT104176224</t>
  </si>
  <si>
    <t>ORD-1042</t>
  </si>
  <si>
    <t>ORD-1043</t>
  </si>
  <si>
    <t>JT736225976</t>
  </si>
  <si>
    <t>ORD-1044</t>
  </si>
  <si>
    <t>JT161737453</t>
  </si>
  <si>
    <t>ORD-1045</t>
  </si>
  <si>
    <t>ORD-1046</t>
  </si>
  <si>
    <t>ORD-1047</t>
  </si>
  <si>
    <t>JT500383833</t>
  </si>
  <si>
    <t>ORD-1048</t>
  </si>
  <si>
    <t>JT955923227</t>
  </si>
  <si>
    <t>ORD-1049</t>
  </si>
  <si>
    <t>ORD-1050</t>
  </si>
  <si>
    <t>JT303626299</t>
  </si>
  <si>
    <t>Email Address</t>
  </si>
  <si>
    <t>Mobile Number</t>
  </si>
  <si>
    <t>City</t>
  </si>
  <si>
    <t>Record Status</t>
  </si>
  <si>
    <t>CUSTOMER DIRECTORY</t>
  </si>
  <si>
    <t>maria.santos@example.com</t>
  </si>
  <si>
    <t>0993-591-5541</t>
  </si>
  <si>
    <t>Manila</t>
  </si>
  <si>
    <t>Review</t>
  </si>
  <si>
    <t>john.reyes@example.com</t>
  </si>
  <si>
    <t>0946-301-2211</t>
  </si>
  <si>
    <t>Cebu City</t>
  </si>
  <si>
    <t>Active</t>
  </si>
  <si>
    <t>Total customers</t>
  </si>
  <si>
    <t>angela.cruz@example.com</t>
  </si>
  <si>
    <t>0918-360-9840</t>
  </si>
  <si>
    <t>Davao City</t>
  </si>
  <si>
    <t>Active records</t>
  </si>
  <si>
    <t>mark.rivera@example.com</t>
  </si>
  <si>
    <t>0952-358-7100</t>
  </si>
  <si>
    <t>Santa Rosa</t>
  </si>
  <si>
    <t>Review required</t>
  </si>
  <si>
    <t>sofia.garcia@example.com</t>
  </si>
  <si>
    <t>0961-287-5060</t>
  </si>
  <si>
    <t>Batangas City</t>
  </si>
  <si>
    <t>paolo.delacruz@example.com</t>
  </si>
  <si>
    <t>0940-602-2168</t>
  </si>
  <si>
    <t>Quezon City</t>
  </si>
  <si>
    <t>nicole.mendoza@example.com</t>
  </si>
  <si>
    <t>0991-686-2289</t>
  </si>
  <si>
    <t>Makati</t>
  </si>
  <si>
    <t>carlo.torres@example.com</t>
  </si>
  <si>
    <t>0988-958-7966</t>
  </si>
  <si>
    <t>Pasig</t>
  </si>
  <si>
    <t>jasmine.flores@example.com</t>
  </si>
  <si>
    <t>0963-857-1863</t>
  </si>
  <si>
    <t>Taguig</t>
  </si>
  <si>
    <t>daniel.ramos@example.com</t>
  </si>
  <si>
    <t>0994-550-6729</t>
  </si>
  <si>
    <t>Calamba</t>
  </si>
  <si>
    <t>grace.aquino@example.com</t>
  </si>
  <si>
    <t>0911-965-8839</t>
  </si>
  <si>
    <t>miguel.bautista@example.com</t>
  </si>
  <si>
    <t>0942-240-6535</t>
  </si>
  <si>
    <t>bianca.navarro@example.com</t>
  </si>
  <si>
    <t>0988-765-4726</t>
  </si>
  <si>
    <t>kevin.lim@example.com</t>
  </si>
  <si>
    <t>0977-244-2617</t>
  </si>
  <si>
    <t>ella.castillo@example.com</t>
  </si>
  <si>
    <t>0960-869-5948</t>
  </si>
  <si>
    <t>rafael.domingo@example.com</t>
  </si>
  <si>
    <t>0914-894-9691</t>
  </si>
  <si>
    <t>camille.villanueva@example.com</t>
  </si>
  <si>
    <t>0920-274-8529</t>
  </si>
  <si>
    <t>joshua.sy@example.com</t>
  </si>
  <si>
    <t>0929-371-9852</t>
  </si>
  <si>
    <t>hannah.tan@example.com</t>
  </si>
  <si>
    <t>0916-277-1246</t>
  </si>
  <si>
    <t>luis.morales@example.com</t>
  </si>
  <si>
    <t>0967-898-3477</t>
  </si>
  <si>
    <t>trisha.salazar@example.com</t>
  </si>
  <si>
    <t>0954-687-7812</t>
  </si>
  <si>
    <t>adrian.gomez@example.com</t>
  </si>
  <si>
    <t>0918-415-8171</t>
  </si>
  <si>
    <t>isabel.fernandez@example.com</t>
  </si>
  <si>
    <t>0969-461-1207</t>
  </si>
  <si>
    <t>marco.ocampo@example.com</t>
  </si>
  <si>
    <t>0956-260-5348</t>
  </si>
  <si>
    <t>faith.pascual@example.com</t>
  </si>
  <si>
    <t>0932-594-6855</t>
  </si>
  <si>
    <t>noel.mercado@example.com</t>
  </si>
  <si>
    <t>0976-162-9476</t>
  </si>
  <si>
    <t>erika.valdez@example.com</t>
  </si>
  <si>
    <t>0941-274-4407</t>
  </si>
  <si>
    <t>gabriel.soriano@example.com</t>
  </si>
  <si>
    <t>0972-669-2498</t>
  </si>
  <si>
    <t>lea.luna@example.com</t>
  </si>
  <si>
    <t>0952-446-1937</t>
  </si>
  <si>
    <t>vincent.chua@example.com</t>
  </si>
  <si>
    <t>0960-451-2872</t>
  </si>
  <si>
    <t>PAID ORDER VALUE</t>
  </si>
  <si>
    <t>Fulfillment statuses are updated manually in the Order Register; dashboard counts and totals update using formulas.</t>
  </si>
  <si>
    <r>
      <t xml:space="preserve">Portfolio demonstration only • </t>
    </r>
    <r>
      <rPr>
        <sz val="11"/>
        <color rgb="FFC00000"/>
        <rFont val="Carlito"/>
      </rPr>
      <t>All customer details, orders, and tracking numbers are fictional.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</si>
</sst>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&quot;₱&quot;#,##0.00"/>
    <numFmt numFmtId="169" formatCode="[$₱-3409]#,##0.00"/>
  </numFmts>
  <fonts count="10">
    <font>
      <sz val="11"/>
      <name val="Carlito"/>
    </font>
    <font>
      <b/>
      <sz val="11"/>
      <color rgb="FFFFFFFF"/>
      <name val="Carlito"/>
    </font>
    <font>
      <sz val="11"/>
      <color rgb="FF14243A"/>
      <name val="Carlito"/>
    </font>
    <font>
      <b/>
      <sz val="17"/>
      <color rgb="FFFFFFFF"/>
      <name val="Carlito"/>
    </font>
    <font>
      <sz val="11"/>
      <color rgb="FF64748B"/>
      <name val="Carlito"/>
    </font>
    <font>
      <b/>
      <sz val="22"/>
      <color rgb="FF14243A"/>
      <name val="Carlito"/>
    </font>
    <font>
      <b/>
      <sz val="20"/>
      <color rgb="FF13233A"/>
      <name val="Carlito"/>
    </font>
    <font>
      <sz val="22"/>
      <name val="Carlito"/>
    </font>
    <font>
      <b/>
      <sz val="22"/>
      <color theme="1"/>
      <name val="Carlito"/>
    </font>
    <font>
      <sz val="11"/>
      <color rgb="FFC00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4243A"/>
      </patternFill>
    </fill>
    <fill>
      <patternFill patternType="solid">
        <fgColor rgb="FFEAF2FF"/>
      </patternFill>
    </fill>
    <fill>
      <patternFill patternType="solid">
        <fgColor rgb="FF2563EB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3" tint="0.749961851863155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E8F0FE"/>
      </patternFill>
    </fill>
    <fill>
      <patternFill patternType="solid">
        <fgColor rgb="FF2563EB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165" fontId="0" fillId="3" borderId="0" xfId="0" applyNumberFormat="1" applyFill="1"/>
    <xf numFmtId="0" fontId="0" fillId="3" borderId="0" xfId="0" applyFill="1"/>
    <xf numFmtId="0" fontId="0" fillId="5" borderId="0" xfId="0" applyFill="1"/>
    <xf numFmtId="0" fontId="2" fillId="5" borderId="0" xfId="0" applyFont="1" applyFill="1"/>
    <xf numFmtId="164" fontId="2" fillId="5" borderId="0" xfId="0" applyNumberFormat="1" applyFont="1" applyFill="1"/>
    <xf numFmtId="164" fontId="0" fillId="5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0" fontId="2" fillId="6" borderId="0" xfId="0" applyFont="1" applyFill="1"/>
    <xf numFmtId="0" fontId="0" fillId="6" borderId="0" xfId="0" applyFill="1"/>
    <xf numFmtId="0" fontId="0" fillId="7" borderId="0" xfId="0" applyFill="1"/>
    <xf numFmtId="0" fontId="1" fillId="2" borderId="0" xfId="0" applyFont="1" applyFill="1"/>
    <xf numFmtId="0" fontId="4" fillId="0" borderId="0" xfId="0" applyFont="1" applyAlignment="1">
      <alignment wrapText="1"/>
    </xf>
    <xf numFmtId="3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6" fillId="10" borderId="0" xfId="0" applyFont="1" applyFill="1"/>
    <xf numFmtId="0" fontId="1" fillId="9" borderId="0" xfId="0" applyFont="1" applyFill="1" applyAlignment="1">
      <alignment horizontal="center"/>
    </xf>
    <xf numFmtId="0" fontId="7" fillId="0" borderId="0" xfId="0" applyFont="1"/>
    <xf numFmtId="169" fontId="8" fillId="11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2" fillId="5" borderId="0" xfId="0" applyNumberFormat="1" applyFont="1" applyFill="1" applyAlignment="1">
      <alignment horizontal="center"/>
    </xf>
    <xf numFmtId="165" fontId="2" fillId="6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PH"/>
              <a:t>Orders by fulfillment stage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'Operations Overview'!$A$11:$A$15</c:f>
              <c:strCache>
                <c:ptCount val="5"/>
                <c:pt idx="0">
                  <c:v>Pending</c:v>
                </c:pt>
                <c:pt idx="1">
                  <c:v>Processing</c:v>
                </c:pt>
                <c:pt idx="2">
                  <c:v>Shipped</c:v>
                </c:pt>
                <c:pt idx="3">
                  <c:v>Delivered</c:v>
                </c:pt>
                <c:pt idx="4">
                  <c:v>Cancelled</c:v>
                </c:pt>
              </c:strCache>
            </c:strRef>
          </c:cat>
          <c:val>
            <c:numRef>
              <c:f>'Operations Overview'!$B$11:$B$15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22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A-4767-A542-4FE89B67C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70" zoomScaleNormal="70" workbookViewId="0">
      <selection activeCell="I17" sqref="I17"/>
    </sheetView>
  </sheetViews>
  <sheetFormatPr defaultRowHeight="13.5"/>
  <cols>
    <col min="1" max="3" width="17" customWidth="1"/>
    <col min="4" max="4" width="24" customWidth="1"/>
    <col min="5" max="8" width="17" customWidth="1"/>
  </cols>
  <sheetData>
    <row r="1" spans="1:8" ht="17.649999999999999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 ht="18" customHeight="1">
      <c r="A2" s="24" t="s">
        <v>1</v>
      </c>
      <c r="B2" s="24"/>
      <c r="C2" s="24"/>
      <c r="D2" s="24"/>
      <c r="E2" s="24"/>
      <c r="F2" s="24"/>
      <c r="G2" s="24"/>
      <c r="H2" s="24"/>
    </row>
    <row r="4" spans="1:8" ht="18" customHeight="1">
      <c r="A4" s="25" t="s">
        <v>2</v>
      </c>
      <c r="B4" s="25"/>
      <c r="D4" s="25" t="s">
        <v>3</v>
      </c>
      <c r="E4" s="25"/>
      <c r="G4" s="25" t="s">
        <v>4</v>
      </c>
      <c r="H4" s="25"/>
    </row>
    <row r="5" spans="1:8" ht="17.55" customHeight="1">
      <c r="A5" s="18">
        <f>COUNTA('Order Register'!A2:A200)</f>
        <v>50</v>
      </c>
      <c r="B5" s="19"/>
      <c r="C5" s="26"/>
      <c r="D5" s="21">
        <f>SUM('Order Register'!H2:H200)</f>
        <v>53824</v>
      </c>
      <c r="E5" s="20"/>
      <c r="G5" s="22">
        <f>COUNTIF('Order Register'!L2:L200,"Check payment")+COUNTIF('Order Register'!L2:L200,"Prepare order")+COUNTIF('Order Register'!L2:L200,"Fulfill order")</f>
        <v>14</v>
      </c>
      <c r="H5" s="20"/>
    </row>
    <row r="6" spans="1:8">
      <c r="A6" s="20"/>
      <c r="B6" s="20"/>
      <c r="D6" s="20"/>
      <c r="E6" s="20"/>
      <c r="G6" s="20"/>
      <c r="H6" s="20"/>
    </row>
    <row r="7" spans="1:8" ht="12.5" customHeight="1">
      <c r="D7" s="27" t="s">
        <v>255</v>
      </c>
      <c r="E7" s="27"/>
    </row>
    <row r="8" spans="1:8" ht="26.75" customHeight="1">
      <c r="D8" s="29">
        <f>SUMIF('Order Register'!I2:I1000,"Paid",'Order Register'!H2:H1000)</f>
        <v>41771</v>
      </c>
      <c r="E8" s="29"/>
    </row>
    <row r="9" spans="1:8" ht="27.4">
      <c r="D9" s="28"/>
    </row>
    <row r="10" spans="1:8" ht="21.4" customHeight="1">
      <c r="A10" s="30" t="s">
        <v>5</v>
      </c>
      <c r="B10" s="30"/>
      <c r="C10" s="30"/>
      <c r="E10" s="30" t="s">
        <v>6</v>
      </c>
      <c r="F10" s="30"/>
      <c r="G10" s="30"/>
      <c r="H10" s="30"/>
    </row>
    <row r="11" spans="1:8">
      <c r="A11" t="s">
        <v>7</v>
      </c>
      <c r="B11" s="31">
        <f>COUNTIF('Order Register'!J2:J200,A11)</f>
        <v>7</v>
      </c>
      <c r="C11" s="31"/>
      <c r="E11" t="s">
        <v>8</v>
      </c>
      <c r="F11" s="31">
        <f>COUNTIF('Order Register'!I2:I200,E11)</f>
        <v>39</v>
      </c>
      <c r="G11" s="31"/>
      <c r="H11" s="31"/>
    </row>
    <row r="12" spans="1:8">
      <c r="A12" t="s">
        <v>9</v>
      </c>
      <c r="B12" s="31">
        <f>COUNTIF('Order Register'!J2:J200,A12)</f>
        <v>7</v>
      </c>
      <c r="C12" s="31"/>
      <c r="E12" t="s">
        <v>7</v>
      </c>
      <c r="F12" s="31">
        <f>COUNTIF('Order Register'!I2:I200,E12)</f>
        <v>7</v>
      </c>
      <c r="G12" s="31"/>
      <c r="H12" s="31"/>
    </row>
    <row r="13" spans="1:8">
      <c r="A13" t="s">
        <v>10</v>
      </c>
      <c r="B13" s="31">
        <f>COUNTIF('Order Register'!J2:J200,A13)</f>
        <v>7</v>
      </c>
      <c r="C13" s="31"/>
      <c r="E13" t="s">
        <v>11</v>
      </c>
      <c r="F13" s="31">
        <f>COUNTIF('Order Register'!I2:I200,E13)</f>
        <v>4</v>
      </c>
      <c r="G13" s="31"/>
      <c r="H13" s="31"/>
    </row>
    <row r="14" spans="1:8">
      <c r="A14" t="s">
        <v>12</v>
      </c>
      <c r="B14" s="31">
        <f>COUNTIF('Order Register'!J2:J200,A14)</f>
        <v>22</v>
      </c>
      <c r="C14" s="31"/>
      <c r="E14" t="s">
        <v>13</v>
      </c>
      <c r="F14" s="31">
        <f>COUNTIF('Order Register'!I2:I200,E14)</f>
        <v>0</v>
      </c>
      <c r="G14" s="31"/>
      <c r="H14" s="31"/>
    </row>
    <row r="15" spans="1:8">
      <c r="A15" t="s">
        <v>14</v>
      </c>
      <c r="B15" s="31">
        <f>COUNTIF('Order Register'!J2:J200,A15)</f>
        <v>7</v>
      </c>
      <c r="C15" s="31"/>
    </row>
    <row r="18" spans="1:8" ht="13.15" customHeight="1">
      <c r="A18" s="16" t="s">
        <v>15</v>
      </c>
      <c r="B18" s="16"/>
      <c r="C18" s="16"/>
      <c r="D18" s="16"/>
      <c r="E18" s="16"/>
      <c r="F18" s="16"/>
      <c r="G18" s="16"/>
      <c r="H18" s="16"/>
    </row>
    <row r="19" spans="1:8">
      <c r="A19" s="17" t="s">
        <v>256</v>
      </c>
      <c r="B19" s="17"/>
      <c r="C19" s="17"/>
      <c r="D19" s="17"/>
      <c r="E19" s="17"/>
      <c r="F19" s="17"/>
      <c r="G19" s="17"/>
      <c r="H19" s="17"/>
    </row>
    <row r="20" spans="1:8">
      <c r="A20" s="17" t="s">
        <v>257</v>
      </c>
      <c r="B20" s="17"/>
      <c r="C20" s="17"/>
      <c r="D20" s="17"/>
      <c r="E20" s="17"/>
      <c r="F20" s="17"/>
      <c r="G20" s="17"/>
      <c r="H20" s="17"/>
    </row>
  </sheetData>
  <mergeCells count="24">
    <mergeCell ref="F11:H11"/>
    <mergeCell ref="F12:H12"/>
    <mergeCell ref="F13:H13"/>
    <mergeCell ref="F14:H14"/>
    <mergeCell ref="A1:H1"/>
    <mergeCell ref="A2:H2"/>
    <mergeCell ref="A4:B4"/>
    <mergeCell ref="D4:E4"/>
    <mergeCell ref="G4:H4"/>
    <mergeCell ref="A18:H18"/>
    <mergeCell ref="A19:H19"/>
    <mergeCell ref="A20:H20"/>
    <mergeCell ref="A5:B6"/>
    <mergeCell ref="D5:E6"/>
    <mergeCell ref="G5:H6"/>
    <mergeCell ref="A10:C10"/>
    <mergeCell ref="E10:H10"/>
    <mergeCell ref="D7:E7"/>
    <mergeCell ref="D8:E8"/>
    <mergeCell ref="B11:C11"/>
    <mergeCell ref="B12:C12"/>
    <mergeCell ref="B13:C13"/>
    <mergeCell ref="B14:C14"/>
    <mergeCell ref="B15:C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zoomScale="36" zoomScaleNormal="36" workbookViewId="0">
      <pane ySplit="1" topLeftCell="A2" activePane="bottomLeft" state="frozen"/>
      <selection pane="bottomLeft" activeCell="Y25" sqref="Y25"/>
    </sheetView>
  </sheetViews>
  <sheetFormatPr defaultRowHeight="13.5"/>
  <cols>
    <col min="1" max="1" width="17" customWidth="1"/>
    <col min="2" max="2" width="18" customWidth="1"/>
    <col min="3" max="3" width="17" customWidth="1"/>
    <col min="4" max="4" width="24" customWidth="1"/>
    <col min="5" max="5" width="22" customWidth="1"/>
    <col min="6" max="6" width="9" customWidth="1"/>
    <col min="7" max="7" width="20" customWidth="1"/>
    <col min="8" max="8" width="22" customWidth="1"/>
    <col min="9" max="9" width="18" customWidth="1"/>
    <col min="10" max="10" width="21" customWidth="1"/>
    <col min="11" max="11" width="23" customWidth="1"/>
    <col min="12" max="12" width="22" customWidth="1"/>
  </cols>
  <sheetData>
    <row r="1" spans="1:12" ht="34.049999999999997" customHeight="1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</row>
    <row r="2" spans="1:12" ht="23" customHeight="1">
      <c r="A2" s="8" t="s">
        <v>28</v>
      </c>
      <c r="B2" s="9">
        <v>46296</v>
      </c>
      <c r="C2" s="8" t="s">
        <v>29</v>
      </c>
      <c r="D2" s="8" t="s">
        <v>30</v>
      </c>
      <c r="E2" s="8" t="s">
        <v>31</v>
      </c>
      <c r="F2" s="8">
        <v>1</v>
      </c>
      <c r="G2" s="32">
        <v>450</v>
      </c>
      <c r="H2" s="33">
        <f t="shared" ref="H2:H33" si="0">IF(OR(F2="",G2=""),"",F2*G2)</f>
        <v>450</v>
      </c>
      <c r="I2" s="34" t="s">
        <v>8</v>
      </c>
      <c r="J2" s="34" t="s">
        <v>12</v>
      </c>
      <c r="K2" s="34" t="s">
        <v>32</v>
      </c>
      <c r="L2" s="13" t="str">
        <f t="shared" ref="L2:L33" si="1">IF(A2="","",IF(J2="Cancelled","Closed",IF(I2="Pending","Check payment",IF(J2="Pending","Prepare order",IF(J2="Processing","Fulfill order",IF(J2="Shipped","Monitor delivery","Complete"))))))</f>
        <v>Complete</v>
      </c>
    </row>
    <row r="3" spans="1:12" ht="23" customHeight="1">
      <c r="A3" s="8" t="s">
        <v>33</v>
      </c>
      <c r="B3" s="9">
        <v>46297</v>
      </c>
      <c r="C3" s="8" t="s">
        <v>34</v>
      </c>
      <c r="D3" s="8" t="s">
        <v>35</v>
      </c>
      <c r="E3" s="8" t="s">
        <v>36</v>
      </c>
      <c r="F3" s="8">
        <v>2</v>
      </c>
      <c r="G3" s="32">
        <v>299</v>
      </c>
      <c r="H3" s="33">
        <f t="shared" si="0"/>
        <v>598</v>
      </c>
      <c r="I3" s="34" t="s">
        <v>8</v>
      </c>
      <c r="J3" s="34" t="s">
        <v>10</v>
      </c>
      <c r="K3" s="34" t="s">
        <v>37</v>
      </c>
      <c r="L3" s="13" t="str">
        <f t="shared" si="1"/>
        <v>Monitor delivery</v>
      </c>
    </row>
    <row r="4" spans="1:12" ht="23" customHeight="1">
      <c r="A4" s="8" t="s">
        <v>38</v>
      </c>
      <c r="B4" s="9">
        <v>46298</v>
      </c>
      <c r="C4" s="8" t="s">
        <v>39</v>
      </c>
      <c r="D4" s="8" t="s">
        <v>40</v>
      </c>
      <c r="E4" s="8" t="s">
        <v>41</v>
      </c>
      <c r="F4" s="8">
        <v>3</v>
      </c>
      <c r="G4" s="32">
        <v>899</v>
      </c>
      <c r="H4" s="33">
        <f t="shared" si="0"/>
        <v>2697</v>
      </c>
      <c r="I4" s="34" t="s">
        <v>8</v>
      </c>
      <c r="J4" s="34" t="s">
        <v>9</v>
      </c>
      <c r="K4" s="34"/>
      <c r="L4" s="13" t="str">
        <f t="shared" si="1"/>
        <v>Fulfill order</v>
      </c>
    </row>
    <row r="5" spans="1:12" ht="23" customHeight="1">
      <c r="A5" s="8" t="s">
        <v>42</v>
      </c>
      <c r="B5" s="9">
        <v>46299</v>
      </c>
      <c r="C5" s="8" t="s">
        <v>43</v>
      </c>
      <c r="D5" s="8" t="s">
        <v>44</v>
      </c>
      <c r="E5" s="8" t="s">
        <v>45</v>
      </c>
      <c r="F5" s="8">
        <v>1</v>
      </c>
      <c r="G5" s="32">
        <v>350</v>
      </c>
      <c r="H5" s="33">
        <f t="shared" si="0"/>
        <v>350</v>
      </c>
      <c r="I5" s="34" t="s">
        <v>7</v>
      </c>
      <c r="J5" s="34" t="s">
        <v>7</v>
      </c>
      <c r="K5" s="34"/>
      <c r="L5" s="13" t="str">
        <f t="shared" si="1"/>
        <v>Check payment</v>
      </c>
    </row>
    <row r="6" spans="1:12" ht="23" customHeight="1">
      <c r="A6" s="8" t="s">
        <v>46</v>
      </c>
      <c r="B6" s="9">
        <v>46300</v>
      </c>
      <c r="C6" s="8" t="s">
        <v>47</v>
      </c>
      <c r="D6" s="8" t="s">
        <v>48</v>
      </c>
      <c r="E6" s="8" t="s">
        <v>49</v>
      </c>
      <c r="F6" s="8">
        <v>2</v>
      </c>
      <c r="G6" s="32">
        <v>750</v>
      </c>
      <c r="H6" s="33">
        <f t="shared" si="0"/>
        <v>1500</v>
      </c>
      <c r="I6" s="34" t="s">
        <v>8</v>
      </c>
      <c r="J6" s="34" t="s">
        <v>12</v>
      </c>
      <c r="K6" s="34" t="s">
        <v>50</v>
      </c>
      <c r="L6" s="13" t="str">
        <f t="shared" si="1"/>
        <v>Complete</v>
      </c>
    </row>
    <row r="7" spans="1:12" ht="23" customHeight="1">
      <c r="A7" s="8" t="s">
        <v>51</v>
      </c>
      <c r="B7" s="9">
        <v>46301</v>
      </c>
      <c r="C7" s="8" t="s">
        <v>52</v>
      </c>
      <c r="D7" s="8" t="s">
        <v>53</v>
      </c>
      <c r="E7" s="8" t="s">
        <v>54</v>
      </c>
      <c r="F7" s="8">
        <v>3</v>
      </c>
      <c r="G7" s="32">
        <v>520</v>
      </c>
      <c r="H7" s="33">
        <f t="shared" si="0"/>
        <v>1560</v>
      </c>
      <c r="I7" s="34" t="s">
        <v>8</v>
      </c>
      <c r="J7" s="34" t="s">
        <v>12</v>
      </c>
      <c r="K7" s="34" t="s">
        <v>55</v>
      </c>
      <c r="L7" s="13" t="str">
        <f t="shared" si="1"/>
        <v>Complete</v>
      </c>
    </row>
    <row r="8" spans="1:12" ht="23" customHeight="1">
      <c r="A8" s="8" t="s">
        <v>56</v>
      </c>
      <c r="B8" s="9">
        <v>46302</v>
      </c>
      <c r="C8" s="8" t="s">
        <v>57</v>
      </c>
      <c r="D8" s="8" t="s">
        <v>58</v>
      </c>
      <c r="E8" s="8" t="s">
        <v>59</v>
      </c>
      <c r="F8" s="8">
        <v>1</v>
      </c>
      <c r="G8" s="32">
        <v>640</v>
      </c>
      <c r="H8" s="33">
        <f t="shared" si="0"/>
        <v>640</v>
      </c>
      <c r="I8" s="34" t="s">
        <v>11</v>
      </c>
      <c r="J8" s="34" t="s">
        <v>14</v>
      </c>
      <c r="K8" s="34"/>
      <c r="L8" s="13" t="str">
        <f t="shared" si="1"/>
        <v>Closed</v>
      </c>
    </row>
    <row r="9" spans="1:12" ht="23" customHeight="1">
      <c r="A9" s="8" t="s">
        <v>60</v>
      </c>
      <c r="B9" s="9">
        <v>46303</v>
      </c>
      <c r="C9" s="8" t="s">
        <v>61</v>
      </c>
      <c r="D9" s="8" t="s">
        <v>62</v>
      </c>
      <c r="E9" s="8" t="s">
        <v>63</v>
      </c>
      <c r="F9" s="8">
        <v>2</v>
      </c>
      <c r="G9" s="32">
        <v>490</v>
      </c>
      <c r="H9" s="33">
        <f t="shared" si="0"/>
        <v>980</v>
      </c>
      <c r="I9" s="34" t="s">
        <v>8</v>
      </c>
      <c r="J9" s="34" t="s">
        <v>12</v>
      </c>
      <c r="K9" s="34" t="s">
        <v>64</v>
      </c>
      <c r="L9" s="13" t="str">
        <f t="shared" si="1"/>
        <v>Complete</v>
      </c>
    </row>
    <row r="10" spans="1:12" ht="23" customHeight="1">
      <c r="A10" s="8" t="s">
        <v>65</v>
      </c>
      <c r="B10" s="9">
        <v>46304</v>
      </c>
      <c r="C10" s="8" t="s">
        <v>66</v>
      </c>
      <c r="D10" s="8" t="s">
        <v>67</v>
      </c>
      <c r="E10" s="8" t="s">
        <v>31</v>
      </c>
      <c r="F10" s="8">
        <v>3</v>
      </c>
      <c r="G10" s="32">
        <v>450</v>
      </c>
      <c r="H10" s="33">
        <f t="shared" si="0"/>
        <v>1350</v>
      </c>
      <c r="I10" s="34" t="s">
        <v>8</v>
      </c>
      <c r="J10" s="34" t="s">
        <v>10</v>
      </c>
      <c r="K10" s="34" t="s">
        <v>68</v>
      </c>
      <c r="L10" s="13" t="str">
        <f t="shared" si="1"/>
        <v>Monitor delivery</v>
      </c>
    </row>
    <row r="11" spans="1:12" ht="23" customHeight="1">
      <c r="A11" s="8" t="s">
        <v>69</v>
      </c>
      <c r="B11" s="9">
        <v>46305</v>
      </c>
      <c r="C11" s="8" t="s">
        <v>70</v>
      </c>
      <c r="D11" s="8" t="s">
        <v>71</v>
      </c>
      <c r="E11" s="8" t="s">
        <v>36</v>
      </c>
      <c r="F11" s="8">
        <v>1</v>
      </c>
      <c r="G11" s="32">
        <v>299</v>
      </c>
      <c r="H11" s="33">
        <f t="shared" si="0"/>
        <v>299</v>
      </c>
      <c r="I11" s="34" t="s">
        <v>8</v>
      </c>
      <c r="J11" s="34" t="s">
        <v>9</v>
      </c>
      <c r="K11" s="34"/>
      <c r="L11" s="13" t="str">
        <f t="shared" si="1"/>
        <v>Fulfill order</v>
      </c>
    </row>
    <row r="12" spans="1:12" ht="23" customHeight="1">
      <c r="A12" s="8" t="s">
        <v>72</v>
      </c>
      <c r="B12" s="9">
        <v>46306</v>
      </c>
      <c r="C12" s="8" t="s">
        <v>73</v>
      </c>
      <c r="D12" s="8" t="s">
        <v>74</v>
      </c>
      <c r="E12" s="8" t="s">
        <v>41</v>
      </c>
      <c r="F12" s="8">
        <v>2</v>
      </c>
      <c r="G12" s="32">
        <v>899</v>
      </c>
      <c r="H12" s="33">
        <f t="shared" si="0"/>
        <v>1798</v>
      </c>
      <c r="I12" s="34" t="s">
        <v>7</v>
      </c>
      <c r="J12" s="34" t="s">
        <v>7</v>
      </c>
      <c r="K12" s="34"/>
      <c r="L12" s="13" t="str">
        <f t="shared" si="1"/>
        <v>Check payment</v>
      </c>
    </row>
    <row r="13" spans="1:12" ht="23" customHeight="1">
      <c r="A13" s="8" t="s">
        <v>75</v>
      </c>
      <c r="B13" s="9">
        <v>46307</v>
      </c>
      <c r="C13" s="8" t="s">
        <v>76</v>
      </c>
      <c r="D13" s="8" t="s">
        <v>77</v>
      </c>
      <c r="E13" s="8" t="s">
        <v>45</v>
      </c>
      <c r="F13" s="8">
        <v>3</v>
      </c>
      <c r="G13" s="32">
        <v>350</v>
      </c>
      <c r="H13" s="33">
        <f t="shared" si="0"/>
        <v>1050</v>
      </c>
      <c r="I13" s="34" t="s">
        <v>8</v>
      </c>
      <c r="J13" s="34" t="s">
        <v>12</v>
      </c>
      <c r="K13" s="34" t="s">
        <v>78</v>
      </c>
      <c r="L13" s="13" t="str">
        <f t="shared" si="1"/>
        <v>Complete</v>
      </c>
    </row>
    <row r="14" spans="1:12" ht="23" customHeight="1">
      <c r="A14" s="8" t="s">
        <v>79</v>
      </c>
      <c r="B14" s="9">
        <v>46308</v>
      </c>
      <c r="C14" s="8" t="s">
        <v>80</v>
      </c>
      <c r="D14" s="8" t="s">
        <v>81</v>
      </c>
      <c r="E14" s="8" t="s">
        <v>49</v>
      </c>
      <c r="F14" s="8">
        <v>1</v>
      </c>
      <c r="G14" s="32">
        <v>750</v>
      </c>
      <c r="H14" s="33">
        <f t="shared" si="0"/>
        <v>750</v>
      </c>
      <c r="I14" s="34" t="s">
        <v>8</v>
      </c>
      <c r="J14" s="34" t="s">
        <v>12</v>
      </c>
      <c r="K14" s="34" t="s">
        <v>82</v>
      </c>
      <c r="L14" s="13" t="str">
        <f t="shared" si="1"/>
        <v>Complete</v>
      </c>
    </row>
    <row r="15" spans="1:12" ht="23" customHeight="1">
      <c r="A15" s="8" t="s">
        <v>83</v>
      </c>
      <c r="B15" s="9">
        <v>46309</v>
      </c>
      <c r="C15" s="8" t="s">
        <v>84</v>
      </c>
      <c r="D15" s="8" t="s">
        <v>85</v>
      </c>
      <c r="E15" s="8" t="s">
        <v>54</v>
      </c>
      <c r="F15" s="8">
        <v>2</v>
      </c>
      <c r="G15" s="32">
        <v>520</v>
      </c>
      <c r="H15" s="33">
        <f t="shared" si="0"/>
        <v>1040</v>
      </c>
      <c r="I15" s="34" t="s">
        <v>8</v>
      </c>
      <c r="J15" s="34" t="s">
        <v>14</v>
      </c>
      <c r="K15" s="34"/>
      <c r="L15" s="13" t="str">
        <f t="shared" si="1"/>
        <v>Closed</v>
      </c>
    </row>
    <row r="16" spans="1:12" ht="23" customHeight="1">
      <c r="A16" s="8" t="s">
        <v>86</v>
      </c>
      <c r="B16" s="9">
        <v>46310</v>
      </c>
      <c r="C16" s="8" t="s">
        <v>87</v>
      </c>
      <c r="D16" s="8" t="s">
        <v>88</v>
      </c>
      <c r="E16" s="8" t="s">
        <v>59</v>
      </c>
      <c r="F16" s="8">
        <v>3</v>
      </c>
      <c r="G16" s="32">
        <v>640</v>
      </c>
      <c r="H16" s="33">
        <f t="shared" si="0"/>
        <v>1920</v>
      </c>
      <c r="I16" s="34" t="s">
        <v>8</v>
      </c>
      <c r="J16" s="34" t="s">
        <v>12</v>
      </c>
      <c r="K16" s="34" t="s">
        <v>89</v>
      </c>
      <c r="L16" s="13" t="str">
        <f t="shared" si="1"/>
        <v>Complete</v>
      </c>
    </row>
    <row r="17" spans="1:12" ht="23" customHeight="1">
      <c r="A17" s="8" t="s">
        <v>90</v>
      </c>
      <c r="B17" s="9">
        <v>46311</v>
      </c>
      <c r="C17" s="8" t="s">
        <v>91</v>
      </c>
      <c r="D17" s="8" t="s">
        <v>92</v>
      </c>
      <c r="E17" s="8" t="s">
        <v>63</v>
      </c>
      <c r="F17" s="8">
        <v>1</v>
      </c>
      <c r="G17" s="32">
        <v>490</v>
      </c>
      <c r="H17" s="33">
        <f t="shared" si="0"/>
        <v>490</v>
      </c>
      <c r="I17" s="34" t="s">
        <v>8</v>
      </c>
      <c r="J17" s="34" t="s">
        <v>10</v>
      </c>
      <c r="K17" s="34" t="s">
        <v>93</v>
      </c>
      <c r="L17" s="13" t="str">
        <f t="shared" si="1"/>
        <v>Monitor delivery</v>
      </c>
    </row>
    <row r="18" spans="1:12" ht="23" customHeight="1">
      <c r="A18" s="8" t="s">
        <v>94</v>
      </c>
      <c r="B18" s="9">
        <v>46312</v>
      </c>
      <c r="C18" s="8" t="s">
        <v>95</v>
      </c>
      <c r="D18" s="8" t="s">
        <v>96</v>
      </c>
      <c r="E18" s="8" t="s">
        <v>31</v>
      </c>
      <c r="F18" s="8">
        <v>2</v>
      </c>
      <c r="G18" s="32">
        <v>450</v>
      </c>
      <c r="H18" s="33">
        <f t="shared" si="0"/>
        <v>900</v>
      </c>
      <c r="I18" s="34" t="s">
        <v>8</v>
      </c>
      <c r="J18" s="34" t="s">
        <v>9</v>
      </c>
      <c r="K18" s="34"/>
      <c r="L18" s="13" t="str">
        <f t="shared" si="1"/>
        <v>Fulfill order</v>
      </c>
    </row>
    <row r="19" spans="1:12" ht="23" customHeight="1">
      <c r="A19" s="8" t="s">
        <v>97</v>
      </c>
      <c r="B19" s="9">
        <v>46313</v>
      </c>
      <c r="C19" s="8" t="s">
        <v>98</v>
      </c>
      <c r="D19" s="8" t="s">
        <v>99</v>
      </c>
      <c r="E19" s="8" t="s">
        <v>36</v>
      </c>
      <c r="F19" s="8">
        <v>3</v>
      </c>
      <c r="G19" s="32">
        <v>299</v>
      </c>
      <c r="H19" s="33">
        <f t="shared" si="0"/>
        <v>897</v>
      </c>
      <c r="I19" s="34" t="s">
        <v>7</v>
      </c>
      <c r="J19" s="34" t="s">
        <v>7</v>
      </c>
      <c r="K19" s="34"/>
      <c r="L19" s="13" t="str">
        <f t="shared" si="1"/>
        <v>Check payment</v>
      </c>
    </row>
    <row r="20" spans="1:12" ht="23" customHeight="1">
      <c r="A20" s="8" t="s">
        <v>100</v>
      </c>
      <c r="B20" s="9">
        <v>46314</v>
      </c>
      <c r="C20" s="8" t="s">
        <v>101</v>
      </c>
      <c r="D20" s="8" t="s">
        <v>102</v>
      </c>
      <c r="E20" s="8" t="s">
        <v>41</v>
      </c>
      <c r="F20" s="8">
        <v>1</v>
      </c>
      <c r="G20" s="32">
        <v>899</v>
      </c>
      <c r="H20" s="33">
        <f t="shared" si="0"/>
        <v>899</v>
      </c>
      <c r="I20" s="34" t="s">
        <v>8</v>
      </c>
      <c r="J20" s="34" t="s">
        <v>12</v>
      </c>
      <c r="K20" s="34" t="s">
        <v>103</v>
      </c>
      <c r="L20" s="13" t="str">
        <f t="shared" si="1"/>
        <v>Complete</v>
      </c>
    </row>
    <row r="21" spans="1:12" ht="23" customHeight="1">
      <c r="A21" s="8" t="s">
        <v>104</v>
      </c>
      <c r="B21" s="9">
        <v>46315</v>
      </c>
      <c r="C21" s="8" t="s">
        <v>105</v>
      </c>
      <c r="D21" s="8" t="s">
        <v>106</v>
      </c>
      <c r="E21" s="8" t="s">
        <v>45</v>
      </c>
      <c r="F21" s="8">
        <v>2</v>
      </c>
      <c r="G21" s="32">
        <v>350</v>
      </c>
      <c r="H21" s="33">
        <f t="shared" si="0"/>
        <v>700</v>
      </c>
      <c r="I21" s="34" t="s">
        <v>8</v>
      </c>
      <c r="J21" s="34" t="s">
        <v>12</v>
      </c>
      <c r="K21" s="34" t="s">
        <v>107</v>
      </c>
      <c r="L21" s="13" t="str">
        <f t="shared" si="1"/>
        <v>Complete</v>
      </c>
    </row>
    <row r="22" spans="1:12" ht="23" customHeight="1">
      <c r="A22" s="8" t="s">
        <v>108</v>
      </c>
      <c r="B22" s="9">
        <v>46316</v>
      </c>
      <c r="C22" s="8" t="s">
        <v>109</v>
      </c>
      <c r="D22" s="8" t="s">
        <v>110</v>
      </c>
      <c r="E22" s="8" t="s">
        <v>49</v>
      </c>
      <c r="F22" s="8">
        <v>3</v>
      </c>
      <c r="G22" s="32">
        <v>750</v>
      </c>
      <c r="H22" s="33">
        <f t="shared" si="0"/>
        <v>2250</v>
      </c>
      <c r="I22" s="34" t="s">
        <v>11</v>
      </c>
      <c r="J22" s="34" t="s">
        <v>14</v>
      </c>
      <c r="K22" s="34"/>
      <c r="L22" s="13" t="str">
        <f t="shared" si="1"/>
        <v>Closed</v>
      </c>
    </row>
    <row r="23" spans="1:12" ht="23" customHeight="1">
      <c r="A23" s="8" t="s">
        <v>111</v>
      </c>
      <c r="B23" s="9">
        <v>46317</v>
      </c>
      <c r="C23" s="8" t="s">
        <v>112</v>
      </c>
      <c r="D23" s="8" t="s">
        <v>113</v>
      </c>
      <c r="E23" s="8" t="s">
        <v>54</v>
      </c>
      <c r="F23" s="8">
        <v>1</v>
      </c>
      <c r="G23" s="32">
        <v>520</v>
      </c>
      <c r="H23" s="33">
        <f t="shared" si="0"/>
        <v>520</v>
      </c>
      <c r="I23" s="34" t="s">
        <v>8</v>
      </c>
      <c r="J23" s="34" t="s">
        <v>12</v>
      </c>
      <c r="K23" s="34" t="s">
        <v>114</v>
      </c>
      <c r="L23" s="13" t="str">
        <f t="shared" si="1"/>
        <v>Complete</v>
      </c>
    </row>
    <row r="24" spans="1:12" ht="23" customHeight="1">
      <c r="A24" s="8" t="s">
        <v>115</v>
      </c>
      <c r="B24" s="9">
        <v>46318</v>
      </c>
      <c r="C24" s="8" t="s">
        <v>116</v>
      </c>
      <c r="D24" s="8" t="s">
        <v>117</v>
      </c>
      <c r="E24" s="8" t="s">
        <v>59</v>
      </c>
      <c r="F24" s="8">
        <v>2</v>
      </c>
      <c r="G24" s="32">
        <v>640</v>
      </c>
      <c r="H24" s="33">
        <f t="shared" si="0"/>
        <v>1280</v>
      </c>
      <c r="I24" s="34" t="s">
        <v>8</v>
      </c>
      <c r="J24" s="34" t="s">
        <v>10</v>
      </c>
      <c r="K24" s="34" t="s">
        <v>118</v>
      </c>
      <c r="L24" s="13" t="str">
        <f t="shared" si="1"/>
        <v>Monitor delivery</v>
      </c>
    </row>
    <row r="25" spans="1:12" ht="23" customHeight="1">
      <c r="A25" s="8" t="s">
        <v>119</v>
      </c>
      <c r="B25" s="9">
        <v>46319</v>
      </c>
      <c r="C25" s="8" t="s">
        <v>120</v>
      </c>
      <c r="D25" s="8" t="s">
        <v>121</v>
      </c>
      <c r="E25" s="8" t="s">
        <v>63</v>
      </c>
      <c r="F25" s="8">
        <v>3</v>
      </c>
      <c r="G25" s="32">
        <v>490</v>
      </c>
      <c r="H25" s="33">
        <f t="shared" si="0"/>
        <v>1470</v>
      </c>
      <c r="I25" s="34" t="s">
        <v>8</v>
      </c>
      <c r="J25" s="34" t="s">
        <v>9</v>
      </c>
      <c r="K25" s="34"/>
      <c r="L25" s="13" t="str">
        <f t="shared" si="1"/>
        <v>Fulfill order</v>
      </c>
    </row>
    <row r="26" spans="1:12" ht="23" customHeight="1">
      <c r="A26" s="8" t="s">
        <v>122</v>
      </c>
      <c r="B26" s="9">
        <v>46320</v>
      </c>
      <c r="C26" s="8" t="s">
        <v>123</v>
      </c>
      <c r="D26" s="8" t="s">
        <v>124</v>
      </c>
      <c r="E26" s="8" t="s">
        <v>31</v>
      </c>
      <c r="F26" s="8">
        <v>1</v>
      </c>
      <c r="G26" s="32">
        <v>450</v>
      </c>
      <c r="H26" s="33">
        <f t="shared" si="0"/>
        <v>450</v>
      </c>
      <c r="I26" s="34" t="s">
        <v>7</v>
      </c>
      <c r="J26" s="34" t="s">
        <v>7</v>
      </c>
      <c r="K26" s="34"/>
      <c r="L26" s="13" t="str">
        <f t="shared" si="1"/>
        <v>Check payment</v>
      </c>
    </row>
    <row r="27" spans="1:12" ht="23" customHeight="1">
      <c r="A27" s="8" t="s">
        <v>125</v>
      </c>
      <c r="B27" s="9">
        <v>46321</v>
      </c>
      <c r="C27" s="8" t="s">
        <v>126</v>
      </c>
      <c r="D27" s="8" t="s">
        <v>127</v>
      </c>
      <c r="E27" s="8" t="s">
        <v>36</v>
      </c>
      <c r="F27" s="8">
        <v>2</v>
      </c>
      <c r="G27" s="32">
        <v>299</v>
      </c>
      <c r="H27" s="33">
        <f t="shared" si="0"/>
        <v>598</v>
      </c>
      <c r="I27" s="34" t="s">
        <v>8</v>
      </c>
      <c r="J27" s="34" t="s">
        <v>12</v>
      </c>
      <c r="K27" s="34" t="s">
        <v>128</v>
      </c>
      <c r="L27" s="13" t="str">
        <f t="shared" si="1"/>
        <v>Complete</v>
      </c>
    </row>
    <row r="28" spans="1:12" ht="23" customHeight="1">
      <c r="A28" s="8" t="s">
        <v>129</v>
      </c>
      <c r="B28" s="9">
        <v>46322</v>
      </c>
      <c r="C28" s="8" t="s">
        <v>130</v>
      </c>
      <c r="D28" s="8" t="s">
        <v>131</v>
      </c>
      <c r="E28" s="8" t="s">
        <v>41</v>
      </c>
      <c r="F28" s="8">
        <v>3</v>
      </c>
      <c r="G28" s="32">
        <v>899</v>
      </c>
      <c r="H28" s="33">
        <f t="shared" si="0"/>
        <v>2697</v>
      </c>
      <c r="I28" s="34" t="s">
        <v>8</v>
      </c>
      <c r="J28" s="34" t="s">
        <v>12</v>
      </c>
      <c r="K28" s="34" t="s">
        <v>132</v>
      </c>
      <c r="L28" s="13" t="str">
        <f t="shared" si="1"/>
        <v>Complete</v>
      </c>
    </row>
    <row r="29" spans="1:12" ht="23" customHeight="1">
      <c r="A29" s="8" t="s">
        <v>133</v>
      </c>
      <c r="B29" s="9">
        <v>46323</v>
      </c>
      <c r="C29" s="8" t="s">
        <v>134</v>
      </c>
      <c r="D29" s="8" t="s">
        <v>135</v>
      </c>
      <c r="E29" s="8" t="s">
        <v>45</v>
      </c>
      <c r="F29" s="8">
        <v>1</v>
      </c>
      <c r="G29" s="32">
        <v>350</v>
      </c>
      <c r="H29" s="33">
        <f t="shared" si="0"/>
        <v>350</v>
      </c>
      <c r="I29" s="34" t="s">
        <v>8</v>
      </c>
      <c r="J29" s="34" t="s">
        <v>14</v>
      </c>
      <c r="K29" s="34"/>
      <c r="L29" s="13" t="str">
        <f t="shared" si="1"/>
        <v>Closed</v>
      </c>
    </row>
    <row r="30" spans="1:12" ht="23" customHeight="1">
      <c r="A30" s="8" t="s">
        <v>136</v>
      </c>
      <c r="B30" s="9">
        <v>46296</v>
      </c>
      <c r="C30" s="8" t="s">
        <v>137</v>
      </c>
      <c r="D30" s="8" t="s">
        <v>138</v>
      </c>
      <c r="E30" s="8" t="s">
        <v>49</v>
      </c>
      <c r="F30" s="8">
        <v>2</v>
      </c>
      <c r="G30" s="32">
        <v>750</v>
      </c>
      <c r="H30" s="33">
        <f t="shared" si="0"/>
        <v>1500</v>
      </c>
      <c r="I30" s="34" t="s">
        <v>8</v>
      </c>
      <c r="J30" s="34" t="s">
        <v>12</v>
      </c>
      <c r="K30" s="34" t="s">
        <v>139</v>
      </c>
      <c r="L30" s="13" t="str">
        <f t="shared" si="1"/>
        <v>Complete</v>
      </c>
    </row>
    <row r="31" spans="1:12" ht="23" customHeight="1">
      <c r="A31" s="8" t="s">
        <v>140</v>
      </c>
      <c r="B31" s="9">
        <v>46297</v>
      </c>
      <c r="C31" s="8" t="s">
        <v>141</v>
      </c>
      <c r="D31" s="8" t="s">
        <v>142</v>
      </c>
      <c r="E31" s="8" t="s">
        <v>54</v>
      </c>
      <c r="F31" s="8">
        <v>3</v>
      </c>
      <c r="G31" s="32">
        <v>520</v>
      </c>
      <c r="H31" s="33">
        <f t="shared" si="0"/>
        <v>1560</v>
      </c>
      <c r="I31" s="34" t="s">
        <v>8</v>
      </c>
      <c r="J31" s="34" t="s">
        <v>10</v>
      </c>
      <c r="K31" s="34" t="s">
        <v>143</v>
      </c>
      <c r="L31" s="13" t="str">
        <f t="shared" si="1"/>
        <v>Monitor delivery</v>
      </c>
    </row>
    <row r="32" spans="1:12" ht="23" customHeight="1">
      <c r="A32" s="8" t="s">
        <v>144</v>
      </c>
      <c r="B32" s="9">
        <v>46298</v>
      </c>
      <c r="C32" s="8" t="s">
        <v>29</v>
      </c>
      <c r="D32" s="8" t="s">
        <v>30</v>
      </c>
      <c r="E32" s="8" t="s">
        <v>59</v>
      </c>
      <c r="F32" s="8">
        <v>1</v>
      </c>
      <c r="G32" s="32">
        <v>640</v>
      </c>
      <c r="H32" s="33">
        <f t="shared" si="0"/>
        <v>640</v>
      </c>
      <c r="I32" s="34" t="s">
        <v>8</v>
      </c>
      <c r="J32" s="34" t="s">
        <v>9</v>
      </c>
      <c r="K32" s="34"/>
      <c r="L32" s="13" t="str">
        <f t="shared" si="1"/>
        <v>Fulfill order</v>
      </c>
    </row>
    <row r="33" spans="1:12" ht="23" customHeight="1">
      <c r="A33" s="8" t="s">
        <v>145</v>
      </c>
      <c r="B33" s="9">
        <v>46299</v>
      </c>
      <c r="C33" s="8" t="s">
        <v>34</v>
      </c>
      <c r="D33" s="8" t="s">
        <v>35</v>
      </c>
      <c r="E33" s="8" t="s">
        <v>63</v>
      </c>
      <c r="F33" s="8">
        <v>2</v>
      </c>
      <c r="G33" s="32">
        <v>490</v>
      </c>
      <c r="H33" s="33">
        <f t="shared" si="0"/>
        <v>980</v>
      </c>
      <c r="I33" s="34" t="s">
        <v>7</v>
      </c>
      <c r="J33" s="34" t="s">
        <v>7</v>
      </c>
      <c r="K33" s="34"/>
      <c r="L33" s="13" t="str">
        <f t="shared" si="1"/>
        <v>Check payment</v>
      </c>
    </row>
    <row r="34" spans="1:12" ht="23" customHeight="1">
      <c r="A34" s="8" t="s">
        <v>146</v>
      </c>
      <c r="B34" s="9">
        <v>46300</v>
      </c>
      <c r="C34" s="8" t="s">
        <v>39</v>
      </c>
      <c r="D34" s="8" t="s">
        <v>40</v>
      </c>
      <c r="E34" s="8" t="s">
        <v>31</v>
      </c>
      <c r="F34" s="8">
        <v>3</v>
      </c>
      <c r="G34" s="32">
        <v>450</v>
      </c>
      <c r="H34" s="33">
        <f t="shared" ref="H34:H65" si="2">IF(OR(F34="",G34=""),"",F34*G34)</f>
        <v>1350</v>
      </c>
      <c r="I34" s="34" t="s">
        <v>8</v>
      </c>
      <c r="J34" s="34" t="s">
        <v>12</v>
      </c>
      <c r="K34" s="34" t="s">
        <v>147</v>
      </c>
      <c r="L34" s="13" t="str">
        <f t="shared" ref="L34:L65" si="3">IF(A34="","",IF(J34="Cancelled","Closed",IF(I34="Pending","Check payment",IF(J34="Pending","Prepare order",IF(J34="Processing","Fulfill order",IF(J34="Shipped","Monitor delivery","Complete"))))))</f>
        <v>Complete</v>
      </c>
    </row>
    <row r="35" spans="1:12" ht="23" customHeight="1">
      <c r="A35" s="8" t="s">
        <v>148</v>
      </c>
      <c r="B35" s="9">
        <v>46301</v>
      </c>
      <c r="C35" s="8" t="s">
        <v>43</v>
      </c>
      <c r="D35" s="8" t="s">
        <v>44</v>
      </c>
      <c r="E35" s="8" t="s">
        <v>36</v>
      </c>
      <c r="F35" s="8">
        <v>1</v>
      </c>
      <c r="G35" s="32">
        <v>299</v>
      </c>
      <c r="H35" s="33">
        <f t="shared" si="2"/>
        <v>299</v>
      </c>
      <c r="I35" s="34" t="s">
        <v>8</v>
      </c>
      <c r="J35" s="34" t="s">
        <v>12</v>
      </c>
      <c r="K35" s="34" t="s">
        <v>149</v>
      </c>
      <c r="L35" s="13" t="str">
        <f t="shared" si="3"/>
        <v>Complete</v>
      </c>
    </row>
    <row r="36" spans="1:12" ht="23" customHeight="1">
      <c r="A36" s="8" t="s">
        <v>150</v>
      </c>
      <c r="B36" s="9">
        <v>46302</v>
      </c>
      <c r="C36" s="8" t="s">
        <v>47</v>
      </c>
      <c r="D36" s="8" t="s">
        <v>48</v>
      </c>
      <c r="E36" s="8" t="s">
        <v>41</v>
      </c>
      <c r="F36" s="8">
        <v>2</v>
      </c>
      <c r="G36" s="32">
        <v>899</v>
      </c>
      <c r="H36" s="33">
        <f t="shared" si="2"/>
        <v>1798</v>
      </c>
      <c r="I36" s="34" t="s">
        <v>11</v>
      </c>
      <c r="J36" s="34" t="s">
        <v>14</v>
      </c>
      <c r="K36" s="34"/>
      <c r="L36" s="13" t="str">
        <f t="shared" si="3"/>
        <v>Closed</v>
      </c>
    </row>
    <row r="37" spans="1:12" ht="23" customHeight="1">
      <c r="A37" s="8" t="s">
        <v>151</v>
      </c>
      <c r="B37" s="9">
        <v>46303</v>
      </c>
      <c r="C37" s="8" t="s">
        <v>52</v>
      </c>
      <c r="D37" s="8" t="s">
        <v>53</v>
      </c>
      <c r="E37" s="8" t="s">
        <v>45</v>
      </c>
      <c r="F37" s="8">
        <v>3</v>
      </c>
      <c r="G37" s="32">
        <v>350</v>
      </c>
      <c r="H37" s="33">
        <f t="shared" si="2"/>
        <v>1050</v>
      </c>
      <c r="I37" s="34" t="s">
        <v>8</v>
      </c>
      <c r="J37" s="34" t="s">
        <v>12</v>
      </c>
      <c r="K37" s="34" t="s">
        <v>152</v>
      </c>
      <c r="L37" s="13" t="str">
        <f t="shared" si="3"/>
        <v>Complete</v>
      </c>
    </row>
    <row r="38" spans="1:12" ht="23" customHeight="1">
      <c r="A38" s="8" t="s">
        <v>153</v>
      </c>
      <c r="B38" s="9">
        <v>46304</v>
      </c>
      <c r="C38" s="8" t="s">
        <v>57</v>
      </c>
      <c r="D38" s="8" t="s">
        <v>58</v>
      </c>
      <c r="E38" s="8" t="s">
        <v>49</v>
      </c>
      <c r="F38" s="8">
        <v>1</v>
      </c>
      <c r="G38" s="32">
        <v>750</v>
      </c>
      <c r="H38" s="33">
        <f t="shared" si="2"/>
        <v>750</v>
      </c>
      <c r="I38" s="34" t="s">
        <v>8</v>
      </c>
      <c r="J38" s="34" t="s">
        <v>10</v>
      </c>
      <c r="K38" s="34" t="s">
        <v>154</v>
      </c>
      <c r="L38" s="13" t="str">
        <f t="shared" si="3"/>
        <v>Monitor delivery</v>
      </c>
    </row>
    <row r="39" spans="1:12" ht="23" customHeight="1">
      <c r="A39" s="8" t="s">
        <v>155</v>
      </c>
      <c r="B39" s="9">
        <v>46305</v>
      </c>
      <c r="C39" s="8" t="s">
        <v>61</v>
      </c>
      <c r="D39" s="8" t="s">
        <v>62</v>
      </c>
      <c r="E39" s="8" t="s">
        <v>54</v>
      </c>
      <c r="F39" s="8">
        <v>2</v>
      </c>
      <c r="G39" s="32">
        <v>520</v>
      </c>
      <c r="H39" s="33">
        <f t="shared" si="2"/>
        <v>1040</v>
      </c>
      <c r="I39" s="34" t="s">
        <v>8</v>
      </c>
      <c r="J39" s="34" t="s">
        <v>9</v>
      </c>
      <c r="K39" s="34"/>
      <c r="L39" s="13" t="str">
        <f t="shared" si="3"/>
        <v>Fulfill order</v>
      </c>
    </row>
    <row r="40" spans="1:12" ht="23" customHeight="1">
      <c r="A40" s="8" t="s">
        <v>156</v>
      </c>
      <c r="B40" s="9">
        <v>46306</v>
      </c>
      <c r="C40" s="8" t="s">
        <v>66</v>
      </c>
      <c r="D40" s="8" t="s">
        <v>67</v>
      </c>
      <c r="E40" s="8" t="s">
        <v>59</v>
      </c>
      <c r="F40" s="8">
        <v>3</v>
      </c>
      <c r="G40" s="32">
        <v>640</v>
      </c>
      <c r="H40" s="33">
        <f t="shared" si="2"/>
        <v>1920</v>
      </c>
      <c r="I40" s="34" t="s">
        <v>7</v>
      </c>
      <c r="J40" s="34" t="s">
        <v>7</v>
      </c>
      <c r="K40" s="34"/>
      <c r="L40" s="13" t="str">
        <f t="shared" si="3"/>
        <v>Check payment</v>
      </c>
    </row>
    <row r="41" spans="1:12" ht="23" customHeight="1">
      <c r="A41" s="8" t="s">
        <v>157</v>
      </c>
      <c r="B41" s="9">
        <v>46307</v>
      </c>
      <c r="C41" s="8" t="s">
        <v>70</v>
      </c>
      <c r="D41" s="8" t="s">
        <v>71</v>
      </c>
      <c r="E41" s="8" t="s">
        <v>63</v>
      </c>
      <c r="F41" s="8">
        <v>1</v>
      </c>
      <c r="G41" s="32">
        <v>490</v>
      </c>
      <c r="H41" s="33">
        <f t="shared" si="2"/>
        <v>490</v>
      </c>
      <c r="I41" s="34" t="s">
        <v>8</v>
      </c>
      <c r="J41" s="34" t="s">
        <v>12</v>
      </c>
      <c r="K41" s="34" t="s">
        <v>158</v>
      </c>
      <c r="L41" s="13" t="str">
        <f t="shared" si="3"/>
        <v>Complete</v>
      </c>
    </row>
    <row r="42" spans="1:12" ht="23" customHeight="1">
      <c r="A42" s="8" t="s">
        <v>159</v>
      </c>
      <c r="B42" s="9">
        <v>46308</v>
      </c>
      <c r="C42" s="8" t="s">
        <v>73</v>
      </c>
      <c r="D42" s="8" t="s">
        <v>74</v>
      </c>
      <c r="E42" s="8" t="s">
        <v>31</v>
      </c>
      <c r="F42" s="8">
        <v>2</v>
      </c>
      <c r="G42" s="32">
        <v>450</v>
      </c>
      <c r="H42" s="33">
        <f t="shared" si="2"/>
        <v>900</v>
      </c>
      <c r="I42" s="34" t="s">
        <v>8</v>
      </c>
      <c r="J42" s="34" t="s">
        <v>12</v>
      </c>
      <c r="K42" s="34" t="s">
        <v>160</v>
      </c>
      <c r="L42" s="13" t="str">
        <f t="shared" si="3"/>
        <v>Complete</v>
      </c>
    </row>
    <row r="43" spans="1:12" ht="23" customHeight="1">
      <c r="A43" s="8" t="s">
        <v>161</v>
      </c>
      <c r="B43" s="9">
        <v>46309</v>
      </c>
      <c r="C43" s="8" t="s">
        <v>76</v>
      </c>
      <c r="D43" s="8" t="s">
        <v>77</v>
      </c>
      <c r="E43" s="8" t="s">
        <v>36</v>
      </c>
      <c r="F43" s="8">
        <v>3</v>
      </c>
      <c r="G43" s="32">
        <v>299</v>
      </c>
      <c r="H43" s="33">
        <f t="shared" si="2"/>
        <v>897</v>
      </c>
      <c r="I43" s="34" t="s">
        <v>8</v>
      </c>
      <c r="J43" s="34" t="s">
        <v>14</v>
      </c>
      <c r="K43" s="34"/>
      <c r="L43" s="13" t="str">
        <f t="shared" si="3"/>
        <v>Closed</v>
      </c>
    </row>
    <row r="44" spans="1:12" ht="23" customHeight="1">
      <c r="A44" s="8" t="s">
        <v>162</v>
      </c>
      <c r="B44" s="9">
        <v>46310</v>
      </c>
      <c r="C44" s="8" t="s">
        <v>80</v>
      </c>
      <c r="D44" s="8" t="s">
        <v>81</v>
      </c>
      <c r="E44" s="8" t="s">
        <v>41</v>
      </c>
      <c r="F44" s="8">
        <v>1</v>
      </c>
      <c r="G44" s="32">
        <v>899</v>
      </c>
      <c r="H44" s="33">
        <f t="shared" si="2"/>
        <v>899</v>
      </c>
      <c r="I44" s="34" t="s">
        <v>8</v>
      </c>
      <c r="J44" s="34" t="s">
        <v>12</v>
      </c>
      <c r="K44" s="34" t="s">
        <v>163</v>
      </c>
      <c r="L44" s="13" t="str">
        <f t="shared" si="3"/>
        <v>Complete</v>
      </c>
    </row>
    <row r="45" spans="1:12" ht="23" customHeight="1">
      <c r="A45" s="8" t="s">
        <v>164</v>
      </c>
      <c r="B45" s="9">
        <v>46311</v>
      </c>
      <c r="C45" s="8" t="s">
        <v>84</v>
      </c>
      <c r="D45" s="8" t="s">
        <v>85</v>
      </c>
      <c r="E45" s="8" t="s">
        <v>45</v>
      </c>
      <c r="F45" s="8">
        <v>2</v>
      </c>
      <c r="G45" s="32">
        <v>350</v>
      </c>
      <c r="H45" s="33">
        <f t="shared" si="2"/>
        <v>700</v>
      </c>
      <c r="I45" s="34" t="s">
        <v>8</v>
      </c>
      <c r="J45" s="34" t="s">
        <v>10</v>
      </c>
      <c r="K45" s="34" t="s">
        <v>165</v>
      </c>
      <c r="L45" s="13" t="str">
        <f t="shared" si="3"/>
        <v>Monitor delivery</v>
      </c>
    </row>
    <row r="46" spans="1:12" ht="23" customHeight="1">
      <c r="A46" s="8" t="s">
        <v>166</v>
      </c>
      <c r="B46" s="9">
        <v>46312</v>
      </c>
      <c r="C46" s="8" t="s">
        <v>87</v>
      </c>
      <c r="D46" s="8" t="s">
        <v>88</v>
      </c>
      <c r="E46" s="8" t="s">
        <v>49</v>
      </c>
      <c r="F46" s="8">
        <v>3</v>
      </c>
      <c r="G46" s="32">
        <v>750</v>
      </c>
      <c r="H46" s="33">
        <f t="shared" si="2"/>
        <v>2250</v>
      </c>
      <c r="I46" s="34" t="s">
        <v>8</v>
      </c>
      <c r="J46" s="34" t="s">
        <v>9</v>
      </c>
      <c r="K46" s="34"/>
      <c r="L46" s="13" t="str">
        <f t="shared" si="3"/>
        <v>Fulfill order</v>
      </c>
    </row>
    <row r="47" spans="1:12" ht="23" customHeight="1">
      <c r="A47" s="8" t="s">
        <v>167</v>
      </c>
      <c r="B47" s="9">
        <v>46313</v>
      </c>
      <c r="C47" s="8" t="s">
        <v>91</v>
      </c>
      <c r="D47" s="8" t="s">
        <v>92</v>
      </c>
      <c r="E47" s="8" t="s">
        <v>54</v>
      </c>
      <c r="F47" s="8">
        <v>1</v>
      </c>
      <c r="G47" s="32">
        <v>520</v>
      </c>
      <c r="H47" s="33">
        <f t="shared" si="2"/>
        <v>520</v>
      </c>
      <c r="I47" s="34" t="s">
        <v>7</v>
      </c>
      <c r="J47" s="34" t="s">
        <v>7</v>
      </c>
      <c r="K47" s="34"/>
      <c r="L47" s="13" t="str">
        <f t="shared" si="3"/>
        <v>Check payment</v>
      </c>
    </row>
    <row r="48" spans="1:12" ht="23" customHeight="1">
      <c r="A48" s="8" t="s">
        <v>168</v>
      </c>
      <c r="B48" s="9">
        <v>46314</v>
      </c>
      <c r="C48" s="8" t="s">
        <v>95</v>
      </c>
      <c r="D48" s="8" t="s">
        <v>96</v>
      </c>
      <c r="E48" s="8" t="s">
        <v>59</v>
      </c>
      <c r="F48" s="8">
        <v>2</v>
      </c>
      <c r="G48" s="32">
        <v>640</v>
      </c>
      <c r="H48" s="33">
        <f t="shared" si="2"/>
        <v>1280</v>
      </c>
      <c r="I48" s="34" t="s">
        <v>8</v>
      </c>
      <c r="J48" s="34" t="s">
        <v>12</v>
      </c>
      <c r="K48" s="34" t="s">
        <v>169</v>
      </c>
      <c r="L48" s="13" t="str">
        <f t="shared" si="3"/>
        <v>Complete</v>
      </c>
    </row>
    <row r="49" spans="1:12" ht="23" customHeight="1">
      <c r="A49" s="8" t="s">
        <v>170</v>
      </c>
      <c r="B49" s="9">
        <v>46315</v>
      </c>
      <c r="C49" s="8" t="s">
        <v>98</v>
      </c>
      <c r="D49" s="8" t="s">
        <v>99</v>
      </c>
      <c r="E49" s="8" t="s">
        <v>63</v>
      </c>
      <c r="F49" s="8">
        <v>3</v>
      </c>
      <c r="G49" s="32">
        <v>490</v>
      </c>
      <c r="H49" s="33">
        <f t="shared" si="2"/>
        <v>1470</v>
      </c>
      <c r="I49" s="34" t="s">
        <v>8</v>
      </c>
      <c r="J49" s="34" t="s">
        <v>12</v>
      </c>
      <c r="K49" s="34" t="s">
        <v>171</v>
      </c>
      <c r="L49" s="13" t="str">
        <f t="shared" si="3"/>
        <v>Complete</v>
      </c>
    </row>
    <row r="50" spans="1:12" ht="23" customHeight="1">
      <c r="A50" s="8" t="s">
        <v>172</v>
      </c>
      <c r="B50" s="9">
        <v>46316</v>
      </c>
      <c r="C50" s="8" t="s">
        <v>101</v>
      </c>
      <c r="D50" s="8" t="s">
        <v>102</v>
      </c>
      <c r="E50" s="8" t="s">
        <v>31</v>
      </c>
      <c r="F50" s="8">
        <v>1</v>
      </c>
      <c r="G50" s="32">
        <v>450</v>
      </c>
      <c r="H50" s="33">
        <f t="shared" si="2"/>
        <v>450</v>
      </c>
      <c r="I50" s="34" t="s">
        <v>11</v>
      </c>
      <c r="J50" s="34" t="s">
        <v>14</v>
      </c>
      <c r="K50" s="34"/>
      <c r="L50" s="13" t="str">
        <f t="shared" si="3"/>
        <v>Closed</v>
      </c>
    </row>
    <row r="51" spans="1:12" ht="23" customHeight="1">
      <c r="A51" s="8" t="s">
        <v>173</v>
      </c>
      <c r="B51" s="9">
        <v>46317</v>
      </c>
      <c r="C51" s="8" t="s">
        <v>105</v>
      </c>
      <c r="D51" s="8" t="s">
        <v>106</v>
      </c>
      <c r="E51" s="8" t="s">
        <v>36</v>
      </c>
      <c r="F51" s="8">
        <v>2</v>
      </c>
      <c r="G51" s="32">
        <v>299</v>
      </c>
      <c r="H51" s="33">
        <f t="shared" si="2"/>
        <v>598</v>
      </c>
      <c r="I51" s="34" t="s">
        <v>8</v>
      </c>
      <c r="J51" s="34" t="s">
        <v>12</v>
      </c>
      <c r="K51" s="34" t="s">
        <v>174</v>
      </c>
      <c r="L51" s="13" t="str">
        <f t="shared" si="3"/>
        <v>Complete</v>
      </c>
    </row>
    <row r="52" spans="1:12">
      <c r="A52" s="7"/>
      <c r="B52" s="10"/>
      <c r="C52" s="7"/>
      <c r="D52" s="7"/>
      <c r="E52" s="7"/>
      <c r="F52" s="7"/>
      <c r="G52" s="11"/>
      <c r="H52" s="12" t="str">
        <f t="shared" si="2"/>
        <v/>
      </c>
      <c r="I52" s="7"/>
      <c r="J52" s="7"/>
      <c r="K52" s="7"/>
      <c r="L52" s="14" t="str">
        <f t="shared" si="3"/>
        <v/>
      </c>
    </row>
    <row r="53" spans="1:12">
      <c r="B53" s="1"/>
      <c r="G53" s="2"/>
      <c r="H53" s="5" t="str">
        <f t="shared" si="2"/>
        <v/>
      </c>
      <c r="L53" s="6" t="str">
        <f t="shared" si="3"/>
        <v/>
      </c>
    </row>
    <row r="54" spans="1:12">
      <c r="B54" s="1"/>
      <c r="G54" s="2"/>
      <c r="H54" s="5" t="str">
        <f t="shared" si="2"/>
        <v/>
      </c>
      <c r="L54" s="6" t="str">
        <f t="shared" si="3"/>
        <v/>
      </c>
    </row>
    <row r="55" spans="1:12">
      <c r="B55" s="1"/>
      <c r="G55" s="2"/>
      <c r="H55" s="5" t="str">
        <f t="shared" si="2"/>
        <v/>
      </c>
      <c r="L55" s="6" t="str">
        <f t="shared" si="3"/>
        <v/>
      </c>
    </row>
    <row r="56" spans="1:12">
      <c r="B56" s="1"/>
      <c r="G56" s="2"/>
      <c r="H56" s="5" t="str">
        <f t="shared" si="2"/>
        <v/>
      </c>
      <c r="L56" s="6" t="str">
        <f t="shared" si="3"/>
        <v/>
      </c>
    </row>
    <row r="57" spans="1:12">
      <c r="B57" s="1"/>
      <c r="G57" s="2"/>
      <c r="H57" s="5" t="str">
        <f t="shared" si="2"/>
        <v/>
      </c>
      <c r="L57" s="6" t="str">
        <f t="shared" si="3"/>
        <v/>
      </c>
    </row>
    <row r="58" spans="1:12">
      <c r="B58" s="1"/>
      <c r="G58" s="2"/>
      <c r="H58" s="5" t="str">
        <f t="shared" si="2"/>
        <v/>
      </c>
      <c r="L58" s="6" t="str">
        <f t="shared" si="3"/>
        <v/>
      </c>
    </row>
    <row r="59" spans="1:12">
      <c r="B59" s="1"/>
      <c r="G59" s="2"/>
      <c r="H59" s="5" t="str">
        <f t="shared" si="2"/>
        <v/>
      </c>
      <c r="L59" s="6" t="str">
        <f t="shared" si="3"/>
        <v/>
      </c>
    </row>
    <row r="60" spans="1:12">
      <c r="B60" s="1"/>
      <c r="G60" s="2"/>
      <c r="H60" s="5" t="str">
        <f t="shared" si="2"/>
        <v/>
      </c>
      <c r="L60" s="6" t="str">
        <f t="shared" si="3"/>
        <v/>
      </c>
    </row>
    <row r="61" spans="1:12">
      <c r="B61" s="1"/>
      <c r="G61" s="2"/>
      <c r="H61" s="5" t="str">
        <f t="shared" si="2"/>
        <v/>
      </c>
      <c r="L61" s="6" t="str">
        <f t="shared" si="3"/>
        <v/>
      </c>
    </row>
    <row r="62" spans="1:12">
      <c r="B62" s="1"/>
      <c r="G62" s="2"/>
      <c r="H62" s="5" t="str">
        <f t="shared" si="2"/>
        <v/>
      </c>
      <c r="L62" s="6" t="str">
        <f t="shared" si="3"/>
        <v/>
      </c>
    </row>
    <row r="63" spans="1:12">
      <c r="B63" s="1"/>
      <c r="G63" s="2"/>
      <c r="H63" s="5" t="str">
        <f t="shared" si="2"/>
        <v/>
      </c>
      <c r="L63" s="6" t="str">
        <f t="shared" si="3"/>
        <v/>
      </c>
    </row>
    <row r="64" spans="1:12">
      <c r="B64" s="1"/>
      <c r="G64" s="2"/>
      <c r="H64" s="5" t="str">
        <f t="shared" si="2"/>
        <v/>
      </c>
      <c r="L64" s="6" t="str">
        <f t="shared" si="3"/>
        <v/>
      </c>
    </row>
    <row r="65" spans="2:12">
      <c r="B65" s="1"/>
      <c r="G65" s="2"/>
      <c r="H65" s="5" t="str">
        <f t="shared" si="2"/>
        <v/>
      </c>
      <c r="L65" s="6" t="str">
        <f t="shared" si="3"/>
        <v/>
      </c>
    </row>
    <row r="66" spans="2:12">
      <c r="B66" s="1"/>
      <c r="G66" s="2"/>
      <c r="H66" s="5" t="str">
        <f t="shared" ref="H66:H97" si="4">IF(OR(F66="",G66=""),"",F66*G66)</f>
        <v/>
      </c>
      <c r="L66" s="6" t="str">
        <f t="shared" ref="L66:L97" si="5">IF(A66="","",IF(J66="Cancelled","Closed",IF(I66="Pending","Check payment",IF(J66="Pending","Prepare order",IF(J66="Processing","Fulfill order",IF(J66="Shipped","Monitor delivery","Complete"))))))</f>
        <v/>
      </c>
    </row>
    <row r="67" spans="2:12">
      <c r="B67" s="1"/>
      <c r="G67" s="2"/>
      <c r="H67" s="5" t="str">
        <f t="shared" si="4"/>
        <v/>
      </c>
      <c r="L67" s="6" t="str">
        <f t="shared" si="5"/>
        <v/>
      </c>
    </row>
    <row r="68" spans="2:12">
      <c r="B68" s="1"/>
      <c r="G68" s="2"/>
      <c r="H68" s="5" t="str">
        <f t="shared" si="4"/>
        <v/>
      </c>
      <c r="L68" s="6" t="str">
        <f t="shared" si="5"/>
        <v/>
      </c>
    </row>
    <row r="69" spans="2:12">
      <c r="B69" s="1"/>
      <c r="G69" s="2"/>
      <c r="H69" s="5" t="str">
        <f t="shared" si="4"/>
        <v/>
      </c>
      <c r="L69" s="6" t="str">
        <f t="shared" si="5"/>
        <v/>
      </c>
    </row>
    <row r="70" spans="2:12">
      <c r="B70" s="1"/>
      <c r="G70" s="2"/>
      <c r="H70" s="5" t="str">
        <f t="shared" si="4"/>
        <v/>
      </c>
      <c r="L70" s="6" t="str">
        <f t="shared" si="5"/>
        <v/>
      </c>
    </row>
    <row r="71" spans="2:12">
      <c r="B71" s="1"/>
      <c r="G71" s="2"/>
      <c r="H71" s="5" t="str">
        <f t="shared" si="4"/>
        <v/>
      </c>
      <c r="L71" s="6" t="str">
        <f t="shared" si="5"/>
        <v/>
      </c>
    </row>
    <row r="72" spans="2:12">
      <c r="B72" s="1"/>
      <c r="G72" s="2"/>
      <c r="H72" s="5" t="str">
        <f t="shared" si="4"/>
        <v/>
      </c>
      <c r="L72" s="6" t="str">
        <f t="shared" si="5"/>
        <v/>
      </c>
    </row>
    <row r="73" spans="2:12">
      <c r="B73" s="1"/>
      <c r="G73" s="2"/>
      <c r="H73" s="5" t="str">
        <f t="shared" si="4"/>
        <v/>
      </c>
      <c r="L73" s="6" t="str">
        <f t="shared" si="5"/>
        <v/>
      </c>
    </row>
    <row r="74" spans="2:12">
      <c r="B74" s="1"/>
      <c r="G74" s="2"/>
      <c r="H74" s="5" t="str">
        <f t="shared" si="4"/>
        <v/>
      </c>
      <c r="L74" s="6" t="str">
        <f t="shared" si="5"/>
        <v/>
      </c>
    </row>
    <row r="75" spans="2:12">
      <c r="B75" s="1"/>
      <c r="G75" s="2"/>
      <c r="H75" s="5" t="str">
        <f t="shared" si="4"/>
        <v/>
      </c>
      <c r="L75" s="6" t="str">
        <f t="shared" si="5"/>
        <v/>
      </c>
    </row>
    <row r="76" spans="2:12">
      <c r="B76" s="1"/>
      <c r="G76" s="2"/>
      <c r="H76" s="5" t="str">
        <f t="shared" si="4"/>
        <v/>
      </c>
      <c r="L76" s="6" t="str">
        <f t="shared" si="5"/>
        <v/>
      </c>
    </row>
    <row r="77" spans="2:12">
      <c r="B77" s="1"/>
      <c r="G77" s="2"/>
      <c r="H77" s="5" t="str">
        <f t="shared" si="4"/>
        <v/>
      </c>
      <c r="L77" s="6" t="str">
        <f t="shared" si="5"/>
        <v/>
      </c>
    </row>
    <row r="78" spans="2:12">
      <c r="B78" s="1"/>
      <c r="G78" s="2"/>
      <c r="H78" s="5" t="str">
        <f t="shared" si="4"/>
        <v/>
      </c>
      <c r="L78" s="6" t="str">
        <f t="shared" si="5"/>
        <v/>
      </c>
    </row>
    <row r="79" spans="2:12">
      <c r="B79" s="1"/>
      <c r="G79" s="2"/>
      <c r="H79" s="5" t="str">
        <f t="shared" si="4"/>
        <v/>
      </c>
      <c r="L79" s="6" t="str">
        <f t="shared" si="5"/>
        <v/>
      </c>
    </row>
    <row r="80" spans="2:12">
      <c r="B80" s="1"/>
      <c r="G80" s="2"/>
      <c r="H80" s="5" t="str">
        <f t="shared" si="4"/>
        <v/>
      </c>
      <c r="L80" s="6" t="str">
        <f t="shared" si="5"/>
        <v/>
      </c>
    </row>
    <row r="81" spans="2:12">
      <c r="B81" s="1"/>
      <c r="G81" s="2"/>
      <c r="H81" s="5" t="str">
        <f t="shared" si="4"/>
        <v/>
      </c>
      <c r="L81" s="6" t="str">
        <f t="shared" si="5"/>
        <v/>
      </c>
    </row>
    <row r="82" spans="2:12">
      <c r="B82" s="1"/>
      <c r="G82" s="2"/>
      <c r="H82" s="5" t="str">
        <f t="shared" si="4"/>
        <v/>
      </c>
      <c r="L82" s="6" t="str">
        <f t="shared" si="5"/>
        <v/>
      </c>
    </row>
    <row r="83" spans="2:12">
      <c r="B83" s="1"/>
      <c r="G83" s="2"/>
      <c r="H83" s="5" t="str">
        <f t="shared" si="4"/>
        <v/>
      </c>
      <c r="L83" s="6" t="str">
        <f t="shared" si="5"/>
        <v/>
      </c>
    </row>
    <row r="84" spans="2:12">
      <c r="B84" s="1"/>
      <c r="G84" s="2"/>
      <c r="H84" s="5" t="str">
        <f t="shared" si="4"/>
        <v/>
      </c>
      <c r="L84" s="6" t="str">
        <f t="shared" si="5"/>
        <v/>
      </c>
    </row>
    <row r="85" spans="2:12">
      <c r="B85" s="1"/>
      <c r="G85" s="2"/>
      <c r="H85" s="5" t="str">
        <f t="shared" si="4"/>
        <v/>
      </c>
      <c r="L85" s="6" t="str">
        <f t="shared" si="5"/>
        <v/>
      </c>
    </row>
    <row r="86" spans="2:12">
      <c r="B86" s="1"/>
      <c r="G86" s="2"/>
      <c r="H86" s="5" t="str">
        <f t="shared" si="4"/>
        <v/>
      </c>
      <c r="L86" s="6" t="str">
        <f t="shared" si="5"/>
        <v/>
      </c>
    </row>
    <row r="87" spans="2:12">
      <c r="B87" s="1"/>
      <c r="G87" s="2"/>
      <c r="H87" s="5" t="str">
        <f t="shared" si="4"/>
        <v/>
      </c>
      <c r="L87" s="6" t="str">
        <f t="shared" si="5"/>
        <v/>
      </c>
    </row>
    <row r="88" spans="2:12">
      <c r="B88" s="1"/>
      <c r="G88" s="2"/>
      <c r="H88" s="5" t="str">
        <f t="shared" si="4"/>
        <v/>
      </c>
      <c r="L88" s="6" t="str">
        <f t="shared" si="5"/>
        <v/>
      </c>
    </row>
    <row r="89" spans="2:12">
      <c r="B89" s="1"/>
      <c r="G89" s="2"/>
      <c r="H89" s="5" t="str">
        <f t="shared" si="4"/>
        <v/>
      </c>
      <c r="L89" s="6" t="str">
        <f t="shared" si="5"/>
        <v/>
      </c>
    </row>
    <row r="90" spans="2:12">
      <c r="B90" s="1"/>
      <c r="G90" s="2"/>
      <c r="H90" s="5" t="str">
        <f t="shared" si="4"/>
        <v/>
      </c>
      <c r="L90" s="6" t="str">
        <f t="shared" si="5"/>
        <v/>
      </c>
    </row>
    <row r="91" spans="2:12">
      <c r="B91" s="1"/>
      <c r="G91" s="2"/>
      <c r="H91" s="5" t="str">
        <f t="shared" si="4"/>
        <v/>
      </c>
      <c r="L91" s="6" t="str">
        <f t="shared" si="5"/>
        <v/>
      </c>
    </row>
    <row r="92" spans="2:12">
      <c r="B92" s="1"/>
      <c r="G92" s="2"/>
      <c r="H92" s="5" t="str">
        <f t="shared" si="4"/>
        <v/>
      </c>
      <c r="L92" s="6" t="str">
        <f t="shared" si="5"/>
        <v/>
      </c>
    </row>
    <row r="93" spans="2:12">
      <c r="B93" s="1"/>
      <c r="G93" s="2"/>
      <c r="H93" s="5" t="str">
        <f t="shared" si="4"/>
        <v/>
      </c>
      <c r="L93" s="6" t="str">
        <f t="shared" si="5"/>
        <v/>
      </c>
    </row>
    <row r="94" spans="2:12">
      <c r="B94" s="1"/>
      <c r="G94" s="2"/>
      <c r="H94" s="5" t="str">
        <f t="shared" si="4"/>
        <v/>
      </c>
      <c r="L94" s="6" t="str">
        <f t="shared" si="5"/>
        <v/>
      </c>
    </row>
    <row r="95" spans="2:12">
      <c r="B95" s="1"/>
      <c r="G95" s="2"/>
      <c r="H95" s="5" t="str">
        <f t="shared" si="4"/>
        <v/>
      </c>
      <c r="L95" s="6" t="str">
        <f t="shared" si="5"/>
        <v/>
      </c>
    </row>
    <row r="96" spans="2:12">
      <c r="B96" s="1"/>
      <c r="G96" s="2"/>
      <c r="H96" s="5" t="str">
        <f t="shared" si="4"/>
        <v/>
      </c>
      <c r="L96" s="6" t="str">
        <f t="shared" si="5"/>
        <v/>
      </c>
    </row>
    <row r="97" spans="2:12">
      <c r="B97" s="1"/>
      <c r="G97" s="2"/>
      <c r="H97" s="5" t="str">
        <f t="shared" si="4"/>
        <v/>
      </c>
      <c r="L97" s="6" t="str">
        <f t="shared" si="5"/>
        <v/>
      </c>
    </row>
    <row r="98" spans="2:12">
      <c r="B98" s="1"/>
      <c r="G98" s="2"/>
      <c r="H98" s="5" t="str">
        <f t="shared" ref="H98:H129" si="6">IF(OR(F98="",G98=""),"",F98*G98)</f>
        <v/>
      </c>
      <c r="L98" s="6" t="str">
        <f t="shared" ref="L98:L129" si="7">IF(A98="","",IF(J98="Cancelled","Closed",IF(I98="Pending","Check payment",IF(J98="Pending","Prepare order",IF(J98="Processing","Fulfill order",IF(J98="Shipped","Monitor delivery","Complete"))))))</f>
        <v/>
      </c>
    </row>
    <row r="99" spans="2:12">
      <c r="B99" s="1"/>
      <c r="G99" s="2"/>
      <c r="H99" s="5" t="str">
        <f t="shared" si="6"/>
        <v/>
      </c>
      <c r="L99" s="6" t="str">
        <f t="shared" si="7"/>
        <v/>
      </c>
    </row>
    <row r="100" spans="2:12">
      <c r="B100" s="1"/>
      <c r="G100" s="2"/>
      <c r="H100" s="5" t="str">
        <f t="shared" si="6"/>
        <v/>
      </c>
      <c r="L100" s="6" t="str">
        <f t="shared" si="7"/>
        <v/>
      </c>
    </row>
    <row r="101" spans="2:12">
      <c r="B101" s="1"/>
      <c r="G101" s="2"/>
      <c r="H101" s="5" t="str">
        <f t="shared" si="6"/>
        <v/>
      </c>
      <c r="L101" s="6" t="str">
        <f t="shared" si="7"/>
        <v/>
      </c>
    </row>
    <row r="102" spans="2:12">
      <c r="B102" s="1"/>
      <c r="G102" s="2"/>
      <c r="H102" s="5" t="str">
        <f t="shared" si="6"/>
        <v/>
      </c>
      <c r="L102" s="6" t="str">
        <f t="shared" si="7"/>
        <v/>
      </c>
    </row>
    <row r="103" spans="2:12">
      <c r="B103" s="1"/>
      <c r="G103" s="2"/>
      <c r="H103" s="5" t="str">
        <f t="shared" si="6"/>
        <v/>
      </c>
      <c r="L103" s="6" t="str">
        <f t="shared" si="7"/>
        <v/>
      </c>
    </row>
    <row r="104" spans="2:12">
      <c r="B104" s="1"/>
      <c r="G104" s="2"/>
      <c r="H104" s="5" t="str">
        <f t="shared" si="6"/>
        <v/>
      </c>
      <c r="L104" s="6" t="str">
        <f t="shared" si="7"/>
        <v/>
      </c>
    </row>
    <row r="105" spans="2:12">
      <c r="B105" s="1"/>
      <c r="G105" s="2"/>
      <c r="H105" s="5" t="str">
        <f t="shared" si="6"/>
        <v/>
      </c>
      <c r="L105" s="6" t="str">
        <f t="shared" si="7"/>
        <v/>
      </c>
    </row>
    <row r="106" spans="2:12">
      <c r="B106" s="1"/>
      <c r="G106" s="2"/>
      <c r="H106" s="5" t="str">
        <f t="shared" si="6"/>
        <v/>
      </c>
      <c r="L106" s="6" t="str">
        <f t="shared" si="7"/>
        <v/>
      </c>
    </row>
    <row r="107" spans="2:12">
      <c r="B107" s="1"/>
      <c r="G107" s="2"/>
      <c r="H107" s="5" t="str">
        <f t="shared" si="6"/>
        <v/>
      </c>
      <c r="L107" s="6" t="str">
        <f t="shared" si="7"/>
        <v/>
      </c>
    </row>
    <row r="108" spans="2:12">
      <c r="B108" s="1"/>
      <c r="G108" s="2"/>
      <c r="H108" s="5" t="str">
        <f t="shared" si="6"/>
        <v/>
      </c>
      <c r="L108" s="6" t="str">
        <f t="shared" si="7"/>
        <v/>
      </c>
    </row>
    <row r="109" spans="2:12">
      <c r="B109" s="1"/>
      <c r="G109" s="2"/>
      <c r="H109" s="5" t="str">
        <f t="shared" si="6"/>
        <v/>
      </c>
      <c r="L109" s="6" t="str">
        <f t="shared" si="7"/>
        <v/>
      </c>
    </row>
    <row r="110" spans="2:12">
      <c r="B110" s="1"/>
      <c r="G110" s="2"/>
      <c r="H110" s="5" t="str">
        <f t="shared" si="6"/>
        <v/>
      </c>
      <c r="L110" s="6" t="str">
        <f t="shared" si="7"/>
        <v/>
      </c>
    </row>
    <row r="111" spans="2:12">
      <c r="B111" s="1"/>
      <c r="G111" s="2"/>
      <c r="H111" s="5" t="str">
        <f t="shared" si="6"/>
        <v/>
      </c>
      <c r="L111" s="6" t="str">
        <f t="shared" si="7"/>
        <v/>
      </c>
    </row>
    <row r="112" spans="2:12">
      <c r="B112" s="1"/>
      <c r="G112" s="2"/>
      <c r="H112" s="5" t="str">
        <f t="shared" si="6"/>
        <v/>
      </c>
      <c r="L112" s="6" t="str">
        <f t="shared" si="7"/>
        <v/>
      </c>
    </row>
    <row r="113" spans="2:12">
      <c r="B113" s="1"/>
      <c r="G113" s="2"/>
      <c r="H113" s="5" t="str">
        <f t="shared" si="6"/>
        <v/>
      </c>
      <c r="L113" s="6" t="str">
        <f t="shared" si="7"/>
        <v/>
      </c>
    </row>
    <row r="114" spans="2:12">
      <c r="B114" s="1"/>
      <c r="G114" s="2"/>
      <c r="H114" s="5" t="str">
        <f t="shared" si="6"/>
        <v/>
      </c>
      <c r="L114" s="6" t="str">
        <f t="shared" si="7"/>
        <v/>
      </c>
    </row>
    <row r="115" spans="2:12">
      <c r="B115" s="1"/>
      <c r="G115" s="2"/>
      <c r="H115" s="5" t="str">
        <f t="shared" si="6"/>
        <v/>
      </c>
      <c r="L115" s="6" t="str">
        <f t="shared" si="7"/>
        <v/>
      </c>
    </row>
    <row r="116" spans="2:12">
      <c r="B116" s="1"/>
      <c r="G116" s="2"/>
      <c r="H116" s="5" t="str">
        <f t="shared" si="6"/>
        <v/>
      </c>
      <c r="L116" s="6" t="str">
        <f t="shared" si="7"/>
        <v/>
      </c>
    </row>
    <row r="117" spans="2:12">
      <c r="B117" s="1"/>
      <c r="G117" s="2"/>
      <c r="H117" s="5" t="str">
        <f t="shared" si="6"/>
        <v/>
      </c>
      <c r="L117" s="6" t="str">
        <f t="shared" si="7"/>
        <v/>
      </c>
    </row>
    <row r="118" spans="2:12">
      <c r="B118" s="1"/>
      <c r="G118" s="2"/>
      <c r="H118" s="5" t="str">
        <f t="shared" si="6"/>
        <v/>
      </c>
      <c r="L118" s="6" t="str">
        <f t="shared" si="7"/>
        <v/>
      </c>
    </row>
    <row r="119" spans="2:12">
      <c r="B119" s="1"/>
      <c r="G119" s="2"/>
      <c r="H119" s="5" t="str">
        <f t="shared" si="6"/>
        <v/>
      </c>
      <c r="L119" s="6" t="str">
        <f t="shared" si="7"/>
        <v/>
      </c>
    </row>
    <row r="120" spans="2:12">
      <c r="B120" s="1"/>
      <c r="G120" s="2"/>
      <c r="H120" s="5" t="str">
        <f t="shared" si="6"/>
        <v/>
      </c>
      <c r="L120" s="6" t="str">
        <f t="shared" si="7"/>
        <v/>
      </c>
    </row>
    <row r="121" spans="2:12">
      <c r="B121" s="1"/>
      <c r="G121" s="2"/>
      <c r="H121" s="5" t="str">
        <f t="shared" si="6"/>
        <v/>
      </c>
      <c r="L121" s="6" t="str">
        <f t="shared" si="7"/>
        <v/>
      </c>
    </row>
    <row r="122" spans="2:12">
      <c r="B122" s="1"/>
      <c r="G122" s="2"/>
      <c r="H122" s="5" t="str">
        <f t="shared" si="6"/>
        <v/>
      </c>
      <c r="L122" s="6" t="str">
        <f t="shared" si="7"/>
        <v/>
      </c>
    </row>
    <row r="123" spans="2:12">
      <c r="B123" s="1"/>
      <c r="G123" s="2"/>
      <c r="H123" s="5" t="str">
        <f t="shared" si="6"/>
        <v/>
      </c>
      <c r="L123" s="6" t="str">
        <f t="shared" si="7"/>
        <v/>
      </c>
    </row>
    <row r="124" spans="2:12">
      <c r="B124" s="1"/>
      <c r="G124" s="2"/>
      <c r="H124" s="5" t="str">
        <f t="shared" si="6"/>
        <v/>
      </c>
      <c r="L124" s="6" t="str">
        <f t="shared" si="7"/>
        <v/>
      </c>
    </row>
    <row r="125" spans="2:12">
      <c r="B125" s="1"/>
      <c r="G125" s="2"/>
      <c r="H125" s="5" t="str">
        <f t="shared" si="6"/>
        <v/>
      </c>
      <c r="L125" s="6" t="str">
        <f t="shared" si="7"/>
        <v/>
      </c>
    </row>
    <row r="126" spans="2:12">
      <c r="B126" s="1"/>
      <c r="G126" s="2"/>
      <c r="H126" s="5" t="str">
        <f t="shared" si="6"/>
        <v/>
      </c>
      <c r="L126" s="6" t="str">
        <f t="shared" si="7"/>
        <v/>
      </c>
    </row>
    <row r="127" spans="2:12">
      <c r="B127" s="1"/>
      <c r="G127" s="2"/>
      <c r="H127" s="5" t="str">
        <f t="shared" si="6"/>
        <v/>
      </c>
      <c r="L127" s="6" t="str">
        <f t="shared" si="7"/>
        <v/>
      </c>
    </row>
    <row r="128" spans="2:12">
      <c r="B128" s="1"/>
      <c r="G128" s="2"/>
      <c r="H128" s="5" t="str">
        <f t="shared" si="6"/>
        <v/>
      </c>
      <c r="L128" s="6" t="str">
        <f t="shared" si="7"/>
        <v/>
      </c>
    </row>
    <row r="129" spans="2:12">
      <c r="B129" s="1"/>
      <c r="G129" s="2"/>
      <c r="H129" s="5" t="str">
        <f t="shared" si="6"/>
        <v/>
      </c>
      <c r="L129" s="6" t="str">
        <f t="shared" si="7"/>
        <v/>
      </c>
    </row>
    <row r="130" spans="2:12">
      <c r="B130" s="1"/>
      <c r="G130" s="2"/>
      <c r="H130" s="5" t="str">
        <f t="shared" ref="H130:H161" si="8">IF(OR(F130="",G130=""),"",F130*G130)</f>
        <v/>
      </c>
      <c r="L130" s="6" t="str">
        <f t="shared" ref="L130:L161" si="9">IF(A130="","",IF(J130="Cancelled","Closed",IF(I130="Pending","Check payment",IF(J130="Pending","Prepare order",IF(J130="Processing","Fulfill order",IF(J130="Shipped","Monitor delivery","Complete"))))))</f>
        <v/>
      </c>
    </row>
    <row r="131" spans="2:12">
      <c r="B131" s="1"/>
      <c r="G131" s="2"/>
      <c r="H131" s="5" t="str">
        <f t="shared" si="8"/>
        <v/>
      </c>
      <c r="L131" s="6" t="str">
        <f t="shared" si="9"/>
        <v/>
      </c>
    </row>
    <row r="132" spans="2:12">
      <c r="B132" s="1"/>
      <c r="G132" s="2"/>
      <c r="H132" s="5" t="str">
        <f t="shared" si="8"/>
        <v/>
      </c>
      <c r="L132" s="6" t="str">
        <f t="shared" si="9"/>
        <v/>
      </c>
    </row>
    <row r="133" spans="2:12">
      <c r="B133" s="1"/>
      <c r="G133" s="2"/>
      <c r="H133" s="5" t="str">
        <f t="shared" si="8"/>
        <v/>
      </c>
      <c r="L133" s="6" t="str">
        <f t="shared" si="9"/>
        <v/>
      </c>
    </row>
    <row r="134" spans="2:12">
      <c r="B134" s="1"/>
      <c r="G134" s="2"/>
      <c r="H134" s="5" t="str">
        <f t="shared" si="8"/>
        <v/>
      </c>
      <c r="L134" s="6" t="str">
        <f t="shared" si="9"/>
        <v/>
      </c>
    </row>
    <row r="135" spans="2:12">
      <c r="B135" s="1"/>
      <c r="G135" s="2"/>
      <c r="H135" s="5" t="str">
        <f t="shared" si="8"/>
        <v/>
      </c>
      <c r="L135" s="6" t="str">
        <f t="shared" si="9"/>
        <v/>
      </c>
    </row>
    <row r="136" spans="2:12">
      <c r="B136" s="1"/>
      <c r="G136" s="2"/>
      <c r="H136" s="5" t="str">
        <f t="shared" si="8"/>
        <v/>
      </c>
      <c r="L136" s="6" t="str">
        <f t="shared" si="9"/>
        <v/>
      </c>
    </row>
    <row r="137" spans="2:12">
      <c r="B137" s="1"/>
      <c r="G137" s="2"/>
      <c r="H137" s="5" t="str">
        <f t="shared" si="8"/>
        <v/>
      </c>
      <c r="L137" s="6" t="str">
        <f t="shared" si="9"/>
        <v/>
      </c>
    </row>
    <row r="138" spans="2:12">
      <c r="B138" s="1"/>
      <c r="G138" s="2"/>
      <c r="H138" s="5" t="str">
        <f t="shared" si="8"/>
        <v/>
      </c>
      <c r="L138" s="6" t="str">
        <f t="shared" si="9"/>
        <v/>
      </c>
    </row>
    <row r="139" spans="2:12">
      <c r="B139" s="1"/>
      <c r="G139" s="2"/>
      <c r="H139" s="5" t="str">
        <f t="shared" si="8"/>
        <v/>
      </c>
      <c r="L139" s="6" t="str">
        <f t="shared" si="9"/>
        <v/>
      </c>
    </row>
    <row r="140" spans="2:12">
      <c r="B140" s="1"/>
      <c r="G140" s="2"/>
      <c r="H140" s="5" t="str">
        <f t="shared" si="8"/>
        <v/>
      </c>
      <c r="L140" s="6" t="str">
        <f t="shared" si="9"/>
        <v/>
      </c>
    </row>
    <row r="141" spans="2:12">
      <c r="B141" s="1"/>
      <c r="G141" s="2"/>
      <c r="H141" s="5" t="str">
        <f t="shared" si="8"/>
        <v/>
      </c>
      <c r="L141" s="6" t="str">
        <f t="shared" si="9"/>
        <v/>
      </c>
    </row>
    <row r="142" spans="2:12">
      <c r="B142" s="1"/>
      <c r="G142" s="2"/>
      <c r="H142" s="5" t="str">
        <f t="shared" si="8"/>
        <v/>
      </c>
      <c r="L142" s="6" t="str">
        <f t="shared" si="9"/>
        <v/>
      </c>
    </row>
    <row r="143" spans="2:12">
      <c r="B143" s="1"/>
      <c r="G143" s="2"/>
      <c r="H143" s="5" t="str">
        <f t="shared" si="8"/>
        <v/>
      </c>
      <c r="L143" s="6" t="str">
        <f t="shared" si="9"/>
        <v/>
      </c>
    </row>
    <row r="144" spans="2:12">
      <c r="B144" s="1"/>
      <c r="G144" s="2"/>
      <c r="H144" s="5" t="str">
        <f t="shared" si="8"/>
        <v/>
      </c>
      <c r="L144" s="6" t="str">
        <f t="shared" si="9"/>
        <v/>
      </c>
    </row>
    <row r="145" spans="2:12">
      <c r="B145" s="1"/>
      <c r="G145" s="2"/>
      <c r="H145" s="5" t="str">
        <f t="shared" si="8"/>
        <v/>
      </c>
      <c r="L145" s="6" t="str">
        <f t="shared" si="9"/>
        <v/>
      </c>
    </row>
    <row r="146" spans="2:12">
      <c r="B146" s="1"/>
      <c r="G146" s="2"/>
      <c r="H146" s="5" t="str">
        <f t="shared" si="8"/>
        <v/>
      </c>
      <c r="L146" s="6" t="str">
        <f t="shared" si="9"/>
        <v/>
      </c>
    </row>
    <row r="147" spans="2:12">
      <c r="B147" s="1"/>
      <c r="G147" s="2"/>
      <c r="H147" s="5" t="str">
        <f t="shared" si="8"/>
        <v/>
      </c>
      <c r="L147" s="6" t="str">
        <f t="shared" si="9"/>
        <v/>
      </c>
    </row>
    <row r="148" spans="2:12">
      <c r="B148" s="1"/>
      <c r="G148" s="2"/>
      <c r="H148" s="5" t="str">
        <f t="shared" si="8"/>
        <v/>
      </c>
      <c r="L148" s="6" t="str">
        <f t="shared" si="9"/>
        <v/>
      </c>
    </row>
    <row r="149" spans="2:12">
      <c r="B149" s="1"/>
      <c r="G149" s="2"/>
      <c r="H149" s="5" t="str">
        <f t="shared" si="8"/>
        <v/>
      </c>
      <c r="L149" s="6" t="str">
        <f t="shared" si="9"/>
        <v/>
      </c>
    </row>
    <row r="150" spans="2:12">
      <c r="B150" s="1"/>
      <c r="G150" s="2"/>
      <c r="H150" s="5" t="str">
        <f t="shared" si="8"/>
        <v/>
      </c>
      <c r="L150" s="6" t="str">
        <f t="shared" si="9"/>
        <v/>
      </c>
    </row>
    <row r="151" spans="2:12">
      <c r="B151" s="1"/>
      <c r="G151" s="2"/>
      <c r="H151" s="5" t="str">
        <f t="shared" si="8"/>
        <v/>
      </c>
      <c r="L151" s="6" t="str">
        <f t="shared" si="9"/>
        <v/>
      </c>
    </row>
    <row r="152" spans="2:12">
      <c r="B152" s="1"/>
      <c r="G152" s="2"/>
      <c r="H152" s="5" t="str">
        <f t="shared" si="8"/>
        <v/>
      </c>
      <c r="L152" s="6" t="str">
        <f t="shared" si="9"/>
        <v/>
      </c>
    </row>
    <row r="153" spans="2:12">
      <c r="B153" s="1"/>
      <c r="G153" s="2"/>
      <c r="H153" s="5" t="str">
        <f t="shared" si="8"/>
        <v/>
      </c>
      <c r="L153" s="6" t="str">
        <f t="shared" si="9"/>
        <v/>
      </c>
    </row>
    <row r="154" spans="2:12">
      <c r="B154" s="1"/>
      <c r="G154" s="2"/>
      <c r="H154" s="5" t="str">
        <f t="shared" si="8"/>
        <v/>
      </c>
      <c r="L154" s="6" t="str">
        <f t="shared" si="9"/>
        <v/>
      </c>
    </row>
    <row r="155" spans="2:12">
      <c r="B155" s="1"/>
      <c r="G155" s="2"/>
      <c r="H155" s="5" t="str">
        <f t="shared" si="8"/>
        <v/>
      </c>
      <c r="L155" s="6" t="str">
        <f t="shared" si="9"/>
        <v/>
      </c>
    </row>
    <row r="156" spans="2:12">
      <c r="B156" s="1"/>
      <c r="G156" s="2"/>
      <c r="H156" s="5" t="str">
        <f t="shared" si="8"/>
        <v/>
      </c>
      <c r="L156" s="6" t="str">
        <f t="shared" si="9"/>
        <v/>
      </c>
    </row>
    <row r="157" spans="2:12">
      <c r="B157" s="1"/>
      <c r="G157" s="2"/>
      <c r="H157" s="5" t="str">
        <f t="shared" si="8"/>
        <v/>
      </c>
      <c r="L157" s="6" t="str">
        <f t="shared" si="9"/>
        <v/>
      </c>
    </row>
    <row r="158" spans="2:12">
      <c r="B158" s="1"/>
      <c r="G158" s="2"/>
      <c r="H158" s="5" t="str">
        <f t="shared" si="8"/>
        <v/>
      </c>
      <c r="L158" s="6" t="str">
        <f t="shared" si="9"/>
        <v/>
      </c>
    </row>
    <row r="159" spans="2:12">
      <c r="B159" s="1"/>
      <c r="G159" s="2"/>
      <c r="H159" s="5" t="str">
        <f t="shared" si="8"/>
        <v/>
      </c>
      <c r="L159" s="6" t="str">
        <f t="shared" si="9"/>
        <v/>
      </c>
    </row>
    <row r="160" spans="2:12">
      <c r="B160" s="1"/>
      <c r="G160" s="2"/>
      <c r="H160" s="5" t="str">
        <f t="shared" si="8"/>
        <v/>
      </c>
      <c r="L160" s="6" t="str">
        <f t="shared" si="9"/>
        <v/>
      </c>
    </row>
    <row r="161" spans="2:12">
      <c r="B161" s="1"/>
      <c r="G161" s="2"/>
      <c r="H161" s="5" t="str">
        <f t="shared" si="8"/>
        <v/>
      </c>
      <c r="L161" s="6" t="str">
        <f t="shared" si="9"/>
        <v/>
      </c>
    </row>
    <row r="162" spans="2:12">
      <c r="B162" s="1"/>
      <c r="G162" s="2"/>
      <c r="H162" s="5" t="str">
        <f t="shared" ref="H162:H193" si="10">IF(OR(F162="",G162=""),"",F162*G162)</f>
        <v/>
      </c>
      <c r="L162" s="6" t="str">
        <f t="shared" ref="L162:L193" si="11">IF(A162="","",IF(J162="Cancelled","Closed",IF(I162="Pending","Check payment",IF(J162="Pending","Prepare order",IF(J162="Processing","Fulfill order",IF(J162="Shipped","Monitor delivery","Complete"))))))</f>
        <v/>
      </c>
    </row>
    <row r="163" spans="2:12">
      <c r="B163" s="1"/>
      <c r="G163" s="2"/>
      <c r="H163" s="5" t="str">
        <f t="shared" si="10"/>
        <v/>
      </c>
      <c r="L163" s="6" t="str">
        <f t="shared" si="11"/>
        <v/>
      </c>
    </row>
    <row r="164" spans="2:12">
      <c r="B164" s="1"/>
      <c r="G164" s="2"/>
      <c r="H164" s="5" t="str">
        <f t="shared" si="10"/>
        <v/>
      </c>
      <c r="L164" s="6" t="str">
        <f t="shared" si="11"/>
        <v/>
      </c>
    </row>
    <row r="165" spans="2:12">
      <c r="B165" s="1"/>
      <c r="G165" s="2"/>
      <c r="H165" s="5" t="str">
        <f t="shared" si="10"/>
        <v/>
      </c>
      <c r="L165" s="6" t="str">
        <f t="shared" si="11"/>
        <v/>
      </c>
    </row>
    <row r="166" spans="2:12">
      <c r="B166" s="1"/>
      <c r="G166" s="2"/>
      <c r="H166" s="5" t="str">
        <f t="shared" si="10"/>
        <v/>
      </c>
      <c r="L166" s="6" t="str">
        <f t="shared" si="11"/>
        <v/>
      </c>
    </row>
    <row r="167" spans="2:12">
      <c r="B167" s="1"/>
      <c r="G167" s="2"/>
      <c r="H167" s="5" t="str">
        <f t="shared" si="10"/>
        <v/>
      </c>
      <c r="L167" s="6" t="str">
        <f t="shared" si="11"/>
        <v/>
      </c>
    </row>
    <row r="168" spans="2:12">
      <c r="B168" s="1"/>
      <c r="G168" s="2"/>
      <c r="H168" s="5" t="str">
        <f t="shared" si="10"/>
        <v/>
      </c>
      <c r="L168" s="6" t="str">
        <f t="shared" si="11"/>
        <v/>
      </c>
    </row>
    <row r="169" spans="2:12">
      <c r="B169" s="1"/>
      <c r="G169" s="2"/>
      <c r="H169" s="5" t="str">
        <f t="shared" si="10"/>
        <v/>
      </c>
      <c r="L169" s="6" t="str">
        <f t="shared" si="11"/>
        <v/>
      </c>
    </row>
    <row r="170" spans="2:12">
      <c r="B170" s="1"/>
      <c r="G170" s="2"/>
      <c r="H170" s="5" t="str">
        <f t="shared" si="10"/>
        <v/>
      </c>
      <c r="L170" s="6" t="str">
        <f t="shared" si="11"/>
        <v/>
      </c>
    </row>
    <row r="171" spans="2:12">
      <c r="B171" s="1"/>
      <c r="G171" s="2"/>
      <c r="H171" s="5" t="str">
        <f t="shared" si="10"/>
        <v/>
      </c>
      <c r="L171" s="6" t="str">
        <f t="shared" si="11"/>
        <v/>
      </c>
    </row>
    <row r="172" spans="2:12">
      <c r="B172" s="1"/>
      <c r="G172" s="2"/>
      <c r="H172" s="5" t="str">
        <f t="shared" si="10"/>
        <v/>
      </c>
      <c r="L172" s="6" t="str">
        <f t="shared" si="11"/>
        <v/>
      </c>
    </row>
    <row r="173" spans="2:12">
      <c r="B173" s="1"/>
      <c r="G173" s="2"/>
      <c r="H173" s="5" t="str">
        <f t="shared" si="10"/>
        <v/>
      </c>
      <c r="L173" s="6" t="str">
        <f t="shared" si="11"/>
        <v/>
      </c>
    </row>
    <row r="174" spans="2:12">
      <c r="B174" s="1"/>
      <c r="G174" s="2"/>
      <c r="H174" s="5" t="str">
        <f t="shared" si="10"/>
        <v/>
      </c>
      <c r="L174" s="6" t="str">
        <f t="shared" si="11"/>
        <v/>
      </c>
    </row>
    <row r="175" spans="2:12">
      <c r="B175" s="1"/>
      <c r="G175" s="2"/>
      <c r="H175" s="5" t="str">
        <f t="shared" si="10"/>
        <v/>
      </c>
      <c r="L175" s="6" t="str">
        <f t="shared" si="11"/>
        <v/>
      </c>
    </row>
    <row r="176" spans="2:12">
      <c r="B176" s="1"/>
      <c r="G176" s="2"/>
      <c r="H176" s="5" t="str">
        <f t="shared" si="10"/>
        <v/>
      </c>
      <c r="L176" s="6" t="str">
        <f t="shared" si="11"/>
        <v/>
      </c>
    </row>
    <row r="177" spans="2:12">
      <c r="B177" s="1"/>
      <c r="G177" s="2"/>
      <c r="H177" s="5" t="str">
        <f t="shared" si="10"/>
        <v/>
      </c>
      <c r="L177" s="6" t="str">
        <f t="shared" si="11"/>
        <v/>
      </c>
    </row>
    <row r="178" spans="2:12">
      <c r="B178" s="1"/>
      <c r="G178" s="2"/>
      <c r="H178" s="5" t="str">
        <f t="shared" si="10"/>
        <v/>
      </c>
      <c r="L178" s="6" t="str">
        <f t="shared" si="11"/>
        <v/>
      </c>
    </row>
    <row r="179" spans="2:12">
      <c r="B179" s="1"/>
      <c r="G179" s="2"/>
      <c r="H179" s="5" t="str">
        <f t="shared" si="10"/>
        <v/>
      </c>
      <c r="L179" s="6" t="str">
        <f t="shared" si="11"/>
        <v/>
      </c>
    </row>
    <row r="180" spans="2:12">
      <c r="B180" s="1"/>
      <c r="G180" s="2"/>
      <c r="H180" s="5" t="str">
        <f t="shared" si="10"/>
        <v/>
      </c>
      <c r="L180" s="6" t="str">
        <f t="shared" si="11"/>
        <v/>
      </c>
    </row>
    <row r="181" spans="2:12">
      <c r="B181" s="1"/>
      <c r="G181" s="2"/>
      <c r="H181" s="5" t="str">
        <f t="shared" si="10"/>
        <v/>
      </c>
      <c r="L181" s="6" t="str">
        <f t="shared" si="11"/>
        <v/>
      </c>
    </row>
    <row r="182" spans="2:12">
      <c r="B182" s="1"/>
      <c r="G182" s="2"/>
      <c r="H182" s="5" t="str">
        <f t="shared" si="10"/>
        <v/>
      </c>
      <c r="L182" s="6" t="str">
        <f t="shared" si="11"/>
        <v/>
      </c>
    </row>
    <row r="183" spans="2:12">
      <c r="B183" s="1"/>
      <c r="G183" s="2"/>
      <c r="H183" s="5" t="str">
        <f t="shared" si="10"/>
        <v/>
      </c>
      <c r="L183" s="6" t="str">
        <f t="shared" si="11"/>
        <v/>
      </c>
    </row>
    <row r="184" spans="2:12">
      <c r="B184" s="1"/>
      <c r="G184" s="2"/>
      <c r="H184" s="5" t="str">
        <f t="shared" si="10"/>
        <v/>
      </c>
      <c r="L184" s="6" t="str">
        <f t="shared" si="11"/>
        <v/>
      </c>
    </row>
    <row r="185" spans="2:12">
      <c r="B185" s="1"/>
      <c r="G185" s="2"/>
      <c r="H185" s="5" t="str">
        <f t="shared" si="10"/>
        <v/>
      </c>
      <c r="L185" s="6" t="str">
        <f t="shared" si="11"/>
        <v/>
      </c>
    </row>
    <row r="186" spans="2:12">
      <c r="B186" s="1"/>
      <c r="G186" s="2"/>
      <c r="H186" s="5" t="str">
        <f t="shared" si="10"/>
        <v/>
      </c>
      <c r="L186" s="6" t="str">
        <f t="shared" si="11"/>
        <v/>
      </c>
    </row>
    <row r="187" spans="2:12">
      <c r="B187" s="1"/>
      <c r="G187" s="2"/>
      <c r="H187" s="5" t="str">
        <f t="shared" si="10"/>
        <v/>
      </c>
      <c r="L187" s="6" t="str">
        <f t="shared" si="11"/>
        <v/>
      </c>
    </row>
    <row r="188" spans="2:12">
      <c r="B188" s="1"/>
      <c r="G188" s="2"/>
      <c r="H188" s="5" t="str">
        <f t="shared" si="10"/>
        <v/>
      </c>
      <c r="L188" s="6" t="str">
        <f t="shared" si="11"/>
        <v/>
      </c>
    </row>
    <row r="189" spans="2:12">
      <c r="B189" s="1"/>
      <c r="G189" s="2"/>
      <c r="H189" s="5" t="str">
        <f t="shared" si="10"/>
        <v/>
      </c>
      <c r="L189" s="6" t="str">
        <f t="shared" si="11"/>
        <v/>
      </c>
    </row>
    <row r="190" spans="2:12">
      <c r="B190" s="1"/>
      <c r="G190" s="2"/>
      <c r="H190" s="5" t="str">
        <f t="shared" si="10"/>
        <v/>
      </c>
      <c r="L190" s="6" t="str">
        <f t="shared" si="11"/>
        <v/>
      </c>
    </row>
    <row r="191" spans="2:12">
      <c r="B191" s="1"/>
      <c r="G191" s="2"/>
      <c r="H191" s="5" t="str">
        <f t="shared" si="10"/>
        <v/>
      </c>
      <c r="L191" s="6" t="str">
        <f t="shared" si="11"/>
        <v/>
      </c>
    </row>
    <row r="192" spans="2:12">
      <c r="B192" s="1"/>
      <c r="G192" s="2"/>
      <c r="H192" s="5" t="str">
        <f t="shared" si="10"/>
        <v/>
      </c>
      <c r="L192" s="6" t="str">
        <f t="shared" si="11"/>
        <v/>
      </c>
    </row>
    <row r="193" spans="2:12">
      <c r="B193" s="1"/>
      <c r="G193" s="2"/>
      <c r="H193" s="5" t="str">
        <f t="shared" si="10"/>
        <v/>
      </c>
      <c r="L193" s="6" t="str">
        <f t="shared" si="11"/>
        <v/>
      </c>
    </row>
    <row r="194" spans="2:12">
      <c r="B194" s="1"/>
      <c r="G194" s="2"/>
      <c r="H194" s="5" t="str">
        <f t="shared" ref="H194:H200" si="12">IF(OR(F194="",G194=""),"",F194*G194)</f>
        <v/>
      </c>
      <c r="L194" s="6" t="str">
        <f t="shared" ref="L194:L200" si="13">IF(A194="","",IF(J194="Cancelled","Closed",IF(I194="Pending","Check payment",IF(J194="Pending","Prepare order",IF(J194="Processing","Fulfill order",IF(J194="Shipped","Monitor delivery","Complete"))))))</f>
        <v/>
      </c>
    </row>
    <row r="195" spans="2:12">
      <c r="B195" s="1"/>
      <c r="G195" s="2"/>
      <c r="H195" s="5" t="str">
        <f t="shared" si="12"/>
        <v/>
      </c>
      <c r="L195" s="6" t="str">
        <f t="shared" si="13"/>
        <v/>
      </c>
    </row>
    <row r="196" spans="2:12">
      <c r="B196" s="1"/>
      <c r="G196" s="2"/>
      <c r="H196" s="5" t="str">
        <f t="shared" si="12"/>
        <v/>
      </c>
      <c r="L196" s="6" t="str">
        <f t="shared" si="13"/>
        <v/>
      </c>
    </row>
    <row r="197" spans="2:12">
      <c r="B197" s="1"/>
      <c r="G197" s="2"/>
      <c r="H197" s="5" t="str">
        <f t="shared" si="12"/>
        <v/>
      </c>
      <c r="L197" s="6" t="str">
        <f t="shared" si="13"/>
        <v/>
      </c>
    </row>
    <row r="198" spans="2:12">
      <c r="B198" s="1"/>
      <c r="G198" s="2"/>
      <c r="H198" s="5" t="str">
        <f t="shared" si="12"/>
        <v/>
      </c>
      <c r="L198" s="6" t="str">
        <f t="shared" si="13"/>
        <v/>
      </c>
    </row>
    <row r="199" spans="2:12">
      <c r="B199" s="1"/>
      <c r="G199" s="2"/>
      <c r="H199" s="5" t="str">
        <f t="shared" si="12"/>
        <v/>
      </c>
      <c r="L199" s="6" t="str">
        <f t="shared" si="13"/>
        <v/>
      </c>
    </row>
    <row r="200" spans="2:12">
      <c r="B200" s="1"/>
      <c r="G200" s="2"/>
      <c r="H200" s="5" t="str">
        <f t="shared" si="12"/>
        <v/>
      </c>
      <c r="L200" s="6" t="str">
        <f t="shared" si="13"/>
        <v/>
      </c>
    </row>
  </sheetData>
  <conditionalFormatting sqref="I2:J200">
    <cfRule type="expression" dxfId="2" priority="1">
      <formula>I2="Pending"</formula>
    </cfRule>
  </conditionalFormatting>
  <conditionalFormatting sqref="J2:J200">
    <cfRule type="expression" dxfId="1" priority="2">
      <formula>J2="Delivered"</formula>
    </cfRule>
  </conditionalFormatting>
  <conditionalFormatting sqref="L2:L200">
    <cfRule type="expression" dxfId="0" priority="3">
      <formula>L2="Check payment"</formula>
    </cfRule>
  </conditionalFormatting>
  <dataValidations count="2">
    <dataValidation type="list" sqref="I2:I200" xr:uid="{00000000-0002-0000-0100-000000000000}">
      <formula1>"Pending,Paid,Refunded,Failed"</formula1>
    </dataValidation>
    <dataValidation type="list" sqref="J2:J200" xr:uid="{00000000-0002-0000-0100-000001000000}">
      <formula1>"Pending,Processing,Shipped,Delivered,Cancelled"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abSelected="1" zoomScale="60" zoomScaleNormal="60" workbookViewId="0">
      <pane ySplit="1" topLeftCell="A2" activePane="bottomLeft" state="frozen"/>
      <selection pane="bottomLeft" activeCell="M22" activeCellId="1" sqref="A1 M22"/>
    </sheetView>
  </sheetViews>
  <sheetFormatPr defaultRowHeight="13.5"/>
  <cols>
    <col min="1" max="1" width="17" customWidth="1"/>
    <col min="2" max="2" width="25" customWidth="1"/>
    <col min="3" max="3" width="37" customWidth="1"/>
    <col min="4" max="5" width="21" customWidth="1"/>
    <col min="6" max="6" width="19" customWidth="1"/>
    <col min="8" max="8" width="25" customWidth="1"/>
    <col min="9" max="9" width="17" customWidth="1"/>
  </cols>
  <sheetData>
    <row r="1" spans="1:9" ht="32" customHeight="1">
      <c r="A1" s="4" t="s">
        <v>18</v>
      </c>
      <c r="B1" s="4" t="s">
        <v>19</v>
      </c>
      <c r="C1" s="4" t="s">
        <v>175</v>
      </c>
      <c r="D1" s="4" t="s">
        <v>176</v>
      </c>
      <c r="E1" s="4" t="s">
        <v>177</v>
      </c>
      <c r="F1" s="4" t="s">
        <v>178</v>
      </c>
      <c r="H1" s="3" t="s">
        <v>179</v>
      </c>
      <c r="I1" s="3"/>
    </row>
    <row r="2" spans="1:9" ht="23" customHeight="1">
      <c r="A2" s="8" t="s">
        <v>29</v>
      </c>
      <c r="B2" s="8" t="s">
        <v>30</v>
      </c>
      <c r="C2" s="8" t="s">
        <v>180</v>
      </c>
      <c r="D2" s="8" t="s">
        <v>181</v>
      </c>
      <c r="E2" s="8" t="s">
        <v>182</v>
      </c>
      <c r="F2" s="8" t="s">
        <v>183</v>
      </c>
      <c r="H2" s="15"/>
      <c r="I2" s="15"/>
    </row>
    <row r="3" spans="1:9" ht="23" customHeight="1">
      <c r="A3" s="8" t="s">
        <v>84</v>
      </c>
      <c r="B3" s="8" t="s">
        <v>85</v>
      </c>
      <c r="C3" s="8" t="s">
        <v>184</v>
      </c>
      <c r="D3" s="8" t="s">
        <v>185</v>
      </c>
      <c r="E3" s="8" t="s">
        <v>186</v>
      </c>
      <c r="F3" s="8" t="s">
        <v>187</v>
      </c>
      <c r="H3" s="15" t="s">
        <v>188</v>
      </c>
      <c r="I3" s="15">
        <f>COUNTA(A2:A150)</f>
        <v>30</v>
      </c>
    </row>
    <row r="4" spans="1:9" ht="23" customHeight="1">
      <c r="A4" s="8" t="s">
        <v>130</v>
      </c>
      <c r="B4" s="8" t="s">
        <v>131</v>
      </c>
      <c r="C4" s="8" t="s">
        <v>189</v>
      </c>
      <c r="D4" s="8" t="s">
        <v>190</v>
      </c>
      <c r="E4" s="8" t="s">
        <v>191</v>
      </c>
      <c r="F4" s="8" t="s">
        <v>187</v>
      </c>
      <c r="H4" s="15" t="s">
        <v>192</v>
      </c>
      <c r="I4" s="15">
        <f>COUNTIF(F2:F150,"Active")</f>
        <v>26</v>
      </c>
    </row>
    <row r="5" spans="1:9" ht="23" customHeight="1">
      <c r="A5" s="8" t="s">
        <v>70</v>
      </c>
      <c r="B5" s="8" t="s">
        <v>71</v>
      </c>
      <c r="C5" s="8" t="s">
        <v>193</v>
      </c>
      <c r="D5" s="8" t="s">
        <v>194</v>
      </c>
      <c r="E5" s="8" t="s">
        <v>195</v>
      </c>
      <c r="F5" s="8" t="s">
        <v>187</v>
      </c>
      <c r="H5" s="15" t="s">
        <v>196</v>
      </c>
      <c r="I5" s="15">
        <f>COUNTIF(F2:F150,"Review")</f>
        <v>4</v>
      </c>
    </row>
    <row r="6" spans="1:9" ht="23" customHeight="1">
      <c r="A6" s="8" t="s">
        <v>116</v>
      </c>
      <c r="B6" s="8" t="s">
        <v>117</v>
      </c>
      <c r="C6" s="8" t="s">
        <v>197</v>
      </c>
      <c r="D6" s="8" t="s">
        <v>198</v>
      </c>
      <c r="E6" s="8" t="s">
        <v>199</v>
      </c>
      <c r="F6" s="8" t="s">
        <v>187</v>
      </c>
    </row>
    <row r="7" spans="1:9" ht="23" customHeight="1">
      <c r="A7" s="8" t="s">
        <v>52</v>
      </c>
      <c r="B7" s="8" t="s">
        <v>53</v>
      </c>
      <c r="C7" s="8" t="s">
        <v>200</v>
      </c>
      <c r="D7" s="8" t="s">
        <v>201</v>
      </c>
      <c r="E7" s="8" t="s">
        <v>202</v>
      </c>
      <c r="F7" s="8" t="s">
        <v>187</v>
      </c>
    </row>
    <row r="8" spans="1:9" ht="23" customHeight="1">
      <c r="A8" s="8" t="s">
        <v>101</v>
      </c>
      <c r="B8" s="8" t="s">
        <v>102</v>
      </c>
      <c r="C8" s="8" t="s">
        <v>203</v>
      </c>
      <c r="D8" s="8" t="s">
        <v>204</v>
      </c>
      <c r="E8" s="8" t="s">
        <v>205</v>
      </c>
      <c r="F8" s="8" t="s">
        <v>187</v>
      </c>
    </row>
    <row r="9" spans="1:9" ht="23" customHeight="1">
      <c r="A9" s="8" t="s">
        <v>34</v>
      </c>
      <c r="B9" s="8" t="s">
        <v>35</v>
      </c>
      <c r="C9" s="8" t="s">
        <v>206</v>
      </c>
      <c r="D9" s="8" t="s">
        <v>207</v>
      </c>
      <c r="E9" s="8" t="s">
        <v>208</v>
      </c>
      <c r="F9" s="8" t="s">
        <v>187</v>
      </c>
    </row>
    <row r="10" spans="1:9" ht="23" customHeight="1">
      <c r="A10" s="8" t="s">
        <v>87</v>
      </c>
      <c r="B10" s="8" t="s">
        <v>88</v>
      </c>
      <c r="C10" s="8" t="s">
        <v>209</v>
      </c>
      <c r="D10" s="8" t="s">
        <v>210</v>
      </c>
      <c r="E10" s="8" t="s">
        <v>211</v>
      </c>
      <c r="F10" s="8" t="s">
        <v>187</v>
      </c>
    </row>
    <row r="11" spans="1:9" ht="23" customHeight="1">
      <c r="A11" s="8" t="s">
        <v>134</v>
      </c>
      <c r="B11" s="8" t="s">
        <v>135</v>
      </c>
      <c r="C11" s="8" t="s">
        <v>212</v>
      </c>
      <c r="D11" s="8" t="s">
        <v>213</v>
      </c>
      <c r="E11" s="8" t="s">
        <v>214</v>
      </c>
      <c r="F11" s="8" t="s">
        <v>183</v>
      </c>
    </row>
    <row r="12" spans="1:9" ht="23" customHeight="1">
      <c r="A12" s="8" t="s">
        <v>73</v>
      </c>
      <c r="B12" s="8" t="s">
        <v>74</v>
      </c>
      <c r="C12" s="8" t="s">
        <v>215</v>
      </c>
      <c r="D12" s="8" t="s">
        <v>216</v>
      </c>
      <c r="E12" s="8" t="s">
        <v>182</v>
      </c>
      <c r="F12" s="8" t="s">
        <v>187</v>
      </c>
    </row>
    <row r="13" spans="1:9" ht="23" customHeight="1">
      <c r="A13" s="8" t="s">
        <v>120</v>
      </c>
      <c r="B13" s="8" t="s">
        <v>121</v>
      </c>
      <c r="C13" s="8" t="s">
        <v>217</v>
      </c>
      <c r="D13" s="8" t="s">
        <v>218</v>
      </c>
      <c r="E13" s="8" t="s">
        <v>186</v>
      </c>
      <c r="F13" s="8" t="s">
        <v>187</v>
      </c>
    </row>
    <row r="14" spans="1:9" ht="23" customHeight="1">
      <c r="A14" s="8" t="s">
        <v>57</v>
      </c>
      <c r="B14" s="8" t="s">
        <v>58</v>
      </c>
      <c r="C14" s="8" t="s">
        <v>219</v>
      </c>
      <c r="D14" s="8" t="s">
        <v>220</v>
      </c>
      <c r="E14" s="8" t="s">
        <v>191</v>
      </c>
      <c r="F14" s="8" t="s">
        <v>187</v>
      </c>
    </row>
    <row r="15" spans="1:9" ht="23" customHeight="1">
      <c r="A15" s="8" t="s">
        <v>105</v>
      </c>
      <c r="B15" s="8" t="s">
        <v>106</v>
      </c>
      <c r="C15" s="8" t="s">
        <v>221</v>
      </c>
      <c r="D15" s="8" t="s">
        <v>222</v>
      </c>
      <c r="E15" s="8" t="s">
        <v>195</v>
      </c>
      <c r="F15" s="8" t="s">
        <v>187</v>
      </c>
    </row>
    <row r="16" spans="1:9" ht="23" customHeight="1">
      <c r="A16" s="8" t="s">
        <v>39</v>
      </c>
      <c r="B16" s="8" t="s">
        <v>40</v>
      </c>
      <c r="C16" s="8" t="s">
        <v>223</v>
      </c>
      <c r="D16" s="8" t="s">
        <v>224</v>
      </c>
      <c r="E16" s="8" t="s">
        <v>199</v>
      </c>
      <c r="F16" s="8" t="s">
        <v>187</v>
      </c>
    </row>
    <row r="17" spans="1:6" ht="23" customHeight="1">
      <c r="A17" s="8" t="s">
        <v>91</v>
      </c>
      <c r="B17" s="8" t="s">
        <v>92</v>
      </c>
      <c r="C17" s="8" t="s">
        <v>225</v>
      </c>
      <c r="D17" s="8" t="s">
        <v>226</v>
      </c>
      <c r="E17" s="8" t="s">
        <v>202</v>
      </c>
      <c r="F17" s="8" t="s">
        <v>187</v>
      </c>
    </row>
    <row r="18" spans="1:6" ht="23" customHeight="1">
      <c r="A18" s="8" t="s">
        <v>137</v>
      </c>
      <c r="B18" s="8" t="s">
        <v>138</v>
      </c>
      <c r="C18" s="8" t="s">
        <v>227</v>
      </c>
      <c r="D18" s="8" t="s">
        <v>228</v>
      </c>
      <c r="E18" s="8" t="s">
        <v>205</v>
      </c>
      <c r="F18" s="8" t="s">
        <v>187</v>
      </c>
    </row>
    <row r="19" spans="1:6" ht="23" customHeight="1">
      <c r="A19" s="8" t="s">
        <v>76</v>
      </c>
      <c r="B19" s="8" t="s">
        <v>77</v>
      </c>
      <c r="C19" s="8" t="s">
        <v>229</v>
      </c>
      <c r="D19" s="8" t="s">
        <v>230</v>
      </c>
      <c r="E19" s="8" t="s">
        <v>208</v>
      </c>
      <c r="F19" s="8" t="s">
        <v>187</v>
      </c>
    </row>
    <row r="20" spans="1:6" ht="23" customHeight="1">
      <c r="A20" s="8" t="s">
        <v>123</v>
      </c>
      <c r="B20" s="8" t="s">
        <v>124</v>
      </c>
      <c r="C20" s="8" t="s">
        <v>231</v>
      </c>
      <c r="D20" s="8" t="s">
        <v>232</v>
      </c>
      <c r="E20" s="8" t="s">
        <v>211</v>
      </c>
      <c r="F20" s="8" t="s">
        <v>183</v>
      </c>
    </row>
    <row r="21" spans="1:6" ht="23" customHeight="1">
      <c r="A21" s="8" t="s">
        <v>61</v>
      </c>
      <c r="B21" s="8" t="s">
        <v>62</v>
      </c>
      <c r="C21" s="8" t="s">
        <v>233</v>
      </c>
      <c r="D21" s="8" t="s">
        <v>234</v>
      </c>
      <c r="E21" s="8" t="s">
        <v>214</v>
      </c>
      <c r="F21" s="8" t="s">
        <v>187</v>
      </c>
    </row>
    <row r="22" spans="1:6" ht="23" customHeight="1">
      <c r="A22" s="8" t="s">
        <v>109</v>
      </c>
      <c r="B22" s="8" t="s">
        <v>110</v>
      </c>
      <c r="C22" s="8" t="s">
        <v>235</v>
      </c>
      <c r="D22" s="8" t="s">
        <v>236</v>
      </c>
      <c r="E22" s="8" t="s">
        <v>182</v>
      </c>
      <c r="F22" s="8" t="s">
        <v>187</v>
      </c>
    </row>
    <row r="23" spans="1:6" ht="23" customHeight="1">
      <c r="A23" s="8" t="s">
        <v>43</v>
      </c>
      <c r="B23" s="8" t="s">
        <v>44</v>
      </c>
      <c r="C23" s="8" t="s">
        <v>237</v>
      </c>
      <c r="D23" s="8" t="s">
        <v>238</v>
      </c>
      <c r="E23" s="8" t="s">
        <v>186</v>
      </c>
      <c r="F23" s="8" t="s">
        <v>187</v>
      </c>
    </row>
    <row r="24" spans="1:6" ht="23" customHeight="1">
      <c r="A24" s="8" t="s">
        <v>95</v>
      </c>
      <c r="B24" s="8" t="s">
        <v>96</v>
      </c>
      <c r="C24" s="8" t="s">
        <v>239</v>
      </c>
      <c r="D24" s="8" t="s">
        <v>240</v>
      </c>
      <c r="E24" s="8" t="s">
        <v>191</v>
      </c>
      <c r="F24" s="8" t="s">
        <v>187</v>
      </c>
    </row>
    <row r="25" spans="1:6" ht="23" customHeight="1">
      <c r="A25" s="8" t="s">
        <v>141</v>
      </c>
      <c r="B25" s="8" t="s">
        <v>142</v>
      </c>
      <c r="C25" s="8" t="s">
        <v>241</v>
      </c>
      <c r="D25" s="8" t="s">
        <v>242</v>
      </c>
      <c r="E25" s="8" t="s">
        <v>195</v>
      </c>
      <c r="F25" s="8" t="s">
        <v>187</v>
      </c>
    </row>
    <row r="26" spans="1:6" ht="23" customHeight="1">
      <c r="A26" s="8" t="s">
        <v>80</v>
      </c>
      <c r="B26" s="8" t="s">
        <v>81</v>
      </c>
      <c r="C26" s="8" t="s">
        <v>243</v>
      </c>
      <c r="D26" s="8" t="s">
        <v>244</v>
      </c>
      <c r="E26" s="8" t="s">
        <v>199</v>
      </c>
      <c r="F26" s="8" t="s">
        <v>187</v>
      </c>
    </row>
    <row r="27" spans="1:6" ht="23" customHeight="1">
      <c r="A27" s="8" t="s">
        <v>126</v>
      </c>
      <c r="B27" s="8" t="s">
        <v>127</v>
      </c>
      <c r="C27" s="8" t="s">
        <v>245</v>
      </c>
      <c r="D27" s="8" t="s">
        <v>246</v>
      </c>
      <c r="E27" s="8" t="s">
        <v>202</v>
      </c>
      <c r="F27" s="8" t="s">
        <v>187</v>
      </c>
    </row>
    <row r="28" spans="1:6" ht="23" customHeight="1">
      <c r="A28" s="8" t="s">
        <v>66</v>
      </c>
      <c r="B28" s="8" t="s">
        <v>67</v>
      </c>
      <c r="C28" s="8" t="s">
        <v>247</v>
      </c>
      <c r="D28" s="8" t="s">
        <v>248</v>
      </c>
      <c r="E28" s="8" t="s">
        <v>205</v>
      </c>
      <c r="F28" s="8" t="s">
        <v>187</v>
      </c>
    </row>
    <row r="29" spans="1:6" ht="23" customHeight="1">
      <c r="A29" s="8" t="s">
        <v>112</v>
      </c>
      <c r="B29" s="8" t="s">
        <v>113</v>
      </c>
      <c r="C29" s="8" t="s">
        <v>249</v>
      </c>
      <c r="D29" s="8" t="s">
        <v>250</v>
      </c>
      <c r="E29" s="8" t="s">
        <v>208</v>
      </c>
      <c r="F29" s="8" t="s">
        <v>183</v>
      </c>
    </row>
    <row r="30" spans="1:6" ht="23" customHeight="1">
      <c r="A30" s="8" t="s">
        <v>47</v>
      </c>
      <c r="B30" s="8" t="s">
        <v>48</v>
      </c>
      <c r="C30" s="8" t="s">
        <v>251</v>
      </c>
      <c r="D30" s="8" t="s">
        <v>252</v>
      </c>
      <c r="E30" s="8" t="s">
        <v>211</v>
      </c>
      <c r="F30" s="8" t="s">
        <v>187</v>
      </c>
    </row>
    <row r="31" spans="1:6" ht="23" customHeight="1">
      <c r="A31" s="8" t="s">
        <v>98</v>
      </c>
      <c r="B31" s="8" t="s">
        <v>99</v>
      </c>
      <c r="C31" s="8" t="s">
        <v>253</v>
      </c>
      <c r="D31" s="8" t="s">
        <v>254</v>
      </c>
      <c r="E31" s="8" t="s">
        <v>214</v>
      </c>
      <c r="F31" s="8" t="s">
        <v>187</v>
      </c>
    </row>
  </sheetData>
  <dataValidations count="1">
    <dataValidation type="list" sqref="F2:F150" xr:uid="{00000000-0002-0000-0200-000000000000}">
      <formula1>"Active,Review,Inactive"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 Overview</vt:lpstr>
      <vt:lpstr>Order Register</vt:lpstr>
      <vt:lpstr>Customer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 Lalaguna</cp:lastModifiedBy>
  <dcterms:modified xsi:type="dcterms:W3CDTF">2026-10-29T04:10:54Z</dcterms:modified>
</cp:coreProperties>
</file>